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killProto" sheetId="1" r:id="rId1"/>
  </sheets>
  <definedNames>
    <definedName name="_xlnm._FilterDatabase" localSheetId="0" hidden="1">SkillProto!$E$1:$E$49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作者</author>
    <author>Admin</author>
  </authors>
  <commentList>
    <comment ref="C3" authorId="0">
      <text>
        <r>
          <rPr>
            <b/>
            <sz val="9"/>
            <rFont val="宋体"/>
            <charset val="134"/>
          </rPr>
          <t>Administrator:</t>
        </r>
        <r>
          <rPr>
            <sz val="9"/>
            <rFont val="宋体"/>
            <charset val="134"/>
          </rPr>
          <t xml:space="preserve">
技能为6位数ID
第1位：
1.职业技能
2.宠物技能
3.怪物技能
4.道具技能
第2位：
首字段-1-职业技能
0:前置技能
1:职业技能
2:普通攻击
首字段3
0：普通攻击
1：技能攻击
第三位：
表示职业
第二个字段为0 1 2
1：战士 2 法师</t>
        </r>
      </text>
    </comment>
    <comment ref="H3" authorId="1">
      <text>
        <r>
          <rPr>
            <sz val="11"/>
            <color indexed="8"/>
            <rFont val="Helvetica Neue"/>
            <charset val="134"/>
          </rPr>
          <t>作者:
技能升级下一级对应的技能ID
如果技能不能升级此值填0</t>
        </r>
      </text>
    </comment>
    <comment ref="I3" authorId="0">
      <text>
        <r>
          <rPr>
            <b/>
            <sz val="9"/>
            <rFont val="宋体"/>
            <charset val="134"/>
          </rPr>
          <t>Administrator:</t>
        </r>
        <r>
          <rPr>
            <sz val="9"/>
            <rFont val="宋体"/>
            <charset val="134"/>
          </rPr>
          <t xml:space="preserve">
0:不限制
1:剑
2:刀</t>
        </r>
      </text>
    </comment>
    <comment ref="K3" authorId="1">
      <text>
        <r>
          <rPr>
            <sz val="11"/>
            <color indexed="8"/>
            <rFont val="Helvetica Neue"/>
            <charset val="134"/>
          </rPr>
          <t>作者:
技能升级消耗的SP值</t>
        </r>
      </text>
    </comment>
    <comment ref="M3" authorId="0">
      <text>
        <r>
          <rPr>
            <b/>
            <sz val="9"/>
            <rFont val="Tahoma"/>
            <charset val="134"/>
          </rPr>
          <t>Administrator:</t>
        </r>
        <r>
          <rPr>
            <sz val="9"/>
            <rFont val="Tahoma"/>
            <charset val="134"/>
          </rPr>
          <t xml:space="preserve">
0:</t>
        </r>
        <r>
          <rPr>
            <sz val="9"/>
            <rFont val="宋体"/>
            <charset val="134"/>
          </rPr>
          <t xml:space="preserve">默认
</t>
        </r>
        <r>
          <rPr>
            <sz val="9"/>
            <rFont val="Tahoma"/>
            <charset val="134"/>
          </rPr>
          <t>1:</t>
        </r>
        <r>
          <rPr>
            <sz val="9"/>
            <rFont val="宋体"/>
            <charset val="134"/>
          </rPr>
          <t>被眩晕的状态下可以释放技能</t>
        </r>
      </text>
    </comment>
    <comment ref="O3" authorId="1">
      <text>
        <r>
          <rPr>
            <sz val="11"/>
            <color indexed="8"/>
            <rFont val="宋体"/>
            <charset val="134"/>
          </rPr>
          <t>作者</t>
        </r>
        <r>
          <rPr>
            <sz val="11"/>
            <color indexed="8"/>
            <rFont val="Helvetica Neue"/>
            <charset val="134"/>
          </rPr>
          <t>:
1</t>
        </r>
        <r>
          <rPr>
            <sz val="11"/>
            <color indexed="8"/>
            <rFont val="宋体"/>
            <charset val="134"/>
          </rPr>
          <t xml:space="preserve">：主动技能
</t>
        </r>
        <r>
          <rPr>
            <sz val="11"/>
            <color indexed="8"/>
            <rFont val="Helvetica Neue"/>
            <charset val="134"/>
          </rPr>
          <t>2</t>
        </r>
        <r>
          <rPr>
            <sz val="11"/>
            <color indexed="8"/>
            <rFont val="宋体"/>
            <charset val="134"/>
          </rPr>
          <t>：被动技能</t>
        </r>
        <r>
          <rPr>
            <sz val="11"/>
            <color indexed="8"/>
            <rFont val="Helvetica Neue"/>
            <charset val="134"/>
          </rPr>
          <t xml:space="preserve"> </t>
        </r>
        <r>
          <rPr>
            <sz val="11"/>
            <color indexed="8"/>
            <rFont val="宋体"/>
            <charset val="134"/>
          </rPr>
          <t xml:space="preserve">（被动技能不能被拖拽）
</t>
        </r>
        <r>
          <rPr>
            <sz val="11"/>
            <color indexed="8"/>
            <rFont val="Helvetica Neue"/>
            <charset val="134"/>
          </rPr>
          <t xml:space="preserve">3:  </t>
        </r>
        <r>
          <rPr>
            <sz val="11"/>
            <color indexed="8"/>
            <rFont val="宋体"/>
            <charset val="134"/>
          </rPr>
          <t xml:space="preserve">装备附加提升原始技能
</t>
        </r>
        <r>
          <rPr>
            <sz val="11"/>
            <color indexed="8"/>
            <rFont val="Helvetica Neue"/>
            <charset val="134"/>
          </rPr>
          <t xml:space="preserve">4:  </t>
        </r>
        <r>
          <rPr>
            <sz val="11"/>
            <color indexed="8"/>
            <rFont val="宋体"/>
            <charset val="134"/>
          </rPr>
          <t xml:space="preserve">宠物技能
</t>
        </r>
        <r>
          <rPr>
            <sz val="11"/>
            <color indexed="8"/>
            <rFont val="Helvetica Neue"/>
            <charset val="134"/>
          </rPr>
          <t xml:space="preserve">5:  </t>
        </r>
        <r>
          <rPr>
            <sz val="11"/>
            <color indexed="8"/>
            <rFont val="宋体"/>
            <charset val="134"/>
          </rPr>
          <t>被动附加属性技能</t>
        </r>
        <r>
          <rPr>
            <sz val="11"/>
            <color indexed="8"/>
            <rFont val="Helvetica Neue"/>
            <charset val="134"/>
          </rPr>
          <t xml:space="preserve">ID
6:  </t>
        </r>
        <r>
          <rPr>
            <sz val="11"/>
            <color indexed="8"/>
            <rFont val="宋体"/>
            <charset val="134"/>
          </rPr>
          <t>武器总技能</t>
        </r>
        <r>
          <rPr>
            <sz val="11"/>
            <color indexed="8"/>
            <rFont val="Helvetica Neue"/>
            <charset val="134"/>
          </rPr>
          <t>ID</t>
        </r>
        <r>
          <rPr>
            <sz val="11"/>
            <color indexed="8"/>
            <rFont val="宋体"/>
            <charset val="134"/>
          </rPr>
          <t>（根据不同武器分配不同的技能</t>
        </r>
        <r>
          <rPr>
            <sz val="11"/>
            <color indexed="8"/>
            <rFont val="Helvetica Neue"/>
            <charset val="134"/>
          </rPr>
          <t>ID</t>
        </r>
        <r>
          <rPr>
            <sz val="11"/>
            <color indexed="8"/>
            <rFont val="宋体"/>
            <charset val="134"/>
          </rPr>
          <t xml:space="preserve">）
</t>
        </r>
        <r>
          <rPr>
            <sz val="11"/>
            <color indexed="8"/>
            <rFont val="Helvetica Neue"/>
            <charset val="134"/>
          </rPr>
          <t xml:space="preserve">7:  </t>
        </r>
        <r>
          <rPr>
            <sz val="11"/>
            <color indexed="8"/>
            <rFont val="宋体"/>
            <charset val="134"/>
          </rPr>
          <t>特殊处理技能</t>
        </r>
        <r>
          <rPr>
            <sz val="11"/>
            <color indexed="8"/>
            <rFont val="Helvetica Neue"/>
            <charset val="134"/>
          </rPr>
          <t>ID</t>
        </r>
        <r>
          <rPr>
            <sz val="11"/>
            <color indexed="8"/>
            <rFont val="宋体"/>
            <charset val="134"/>
          </rPr>
          <t>，根据技能</t>
        </r>
        <r>
          <rPr>
            <sz val="11"/>
            <color indexed="8"/>
            <rFont val="Helvetica Neue"/>
            <charset val="134"/>
          </rPr>
          <t>ID</t>
        </r>
        <r>
          <rPr>
            <sz val="11"/>
            <color indexed="8"/>
            <rFont val="宋体"/>
            <charset val="134"/>
          </rPr>
          <t xml:space="preserve">分别进行处理
</t>
        </r>
        <r>
          <rPr>
            <sz val="11"/>
            <color indexed="8"/>
            <rFont val="Helvetica Neue"/>
            <charset val="134"/>
          </rPr>
          <t xml:space="preserve">8:  </t>
        </r>
        <r>
          <rPr>
            <sz val="11"/>
            <color indexed="8"/>
            <rFont val="宋体"/>
            <charset val="134"/>
          </rPr>
          <t>被动附加属性技能</t>
        </r>
        <r>
          <rPr>
            <sz val="11"/>
            <color indexed="8"/>
            <rFont val="Helvetica Neue"/>
            <charset val="134"/>
          </rPr>
          <t>ID,</t>
        </r>
        <r>
          <rPr>
            <sz val="11"/>
            <color indexed="8"/>
            <rFont val="宋体"/>
            <charset val="134"/>
          </rPr>
          <t>但是不计算战斗力</t>
        </r>
      </text>
    </comment>
    <comment ref="P3" authorId="1">
      <text>
        <r>
          <rPr>
            <sz val="11"/>
            <color indexed="8"/>
            <rFont val="宋体"/>
            <charset val="134"/>
          </rPr>
          <t>作者</t>
        </r>
        <r>
          <rPr>
            <sz val="11"/>
            <color indexed="8"/>
            <rFont val="Helvetica Neue"/>
            <charset val="134"/>
          </rPr>
          <t>:
SkillType</t>
        </r>
        <r>
          <rPr>
            <sz val="11"/>
            <color indexed="8"/>
            <rFont val="宋体"/>
            <charset val="134"/>
          </rPr>
          <t>为</t>
        </r>
        <r>
          <rPr>
            <sz val="11"/>
            <color indexed="8"/>
            <rFont val="Helvetica Neue"/>
            <charset val="134"/>
          </rPr>
          <t>1</t>
        </r>
        <r>
          <rPr>
            <sz val="11"/>
            <color indexed="8"/>
            <rFont val="宋体"/>
            <charset val="134"/>
          </rPr>
          <t xml:space="preserve">是
</t>
        </r>
        <r>
          <rPr>
            <sz val="11"/>
            <color indexed="8"/>
            <rFont val="Helvetica Neue"/>
            <charset val="134"/>
          </rPr>
          <t>0:</t>
        </r>
        <r>
          <rPr>
            <sz val="11"/>
            <color indexed="8"/>
            <rFont val="宋体"/>
            <charset val="134"/>
          </rPr>
          <t xml:space="preserve">无视
</t>
        </r>
        <r>
          <rPr>
            <sz val="11"/>
            <color indexed="8"/>
            <rFont val="Helvetica Neue"/>
            <charset val="134"/>
          </rPr>
          <t>1:</t>
        </r>
        <r>
          <rPr>
            <sz val="11"/>
            <color indexed="8"/>
            <rFont val="宋体"/>
            <charset val="134"/>
          </rPr>
          <t xml:space="preserve">可打断技能
</t>
        </r>
        <r>
          <rPr>
            <sz val="11"/>
            <color indexed="8"/>
            <rFont val="Helvetica Neue"/>
            <charset val="134"/>
          </rPr>
          <t>2</t>
        </r>
        <r>
          <rPr>
            <sz val="11"/>
            <color indexed="8"/>
            <rFont val="宋体"/>
            <charset val="134"/>
          </rPr>
          <t>：蓄力技能</t>
        </r>
        <r>
          <rPr>
            <sz val="11"/>
            <color indexed="8"/>
            <rFont val="Helvetica Neue"/>
            <charset val="134"/>
          </rPr>
          <t xml:space="preserve"> </t>
        </r>
        <r>
          <rPr>
            <sz val="11"/>
            <color indexed="8"/>
            <rFont val="宋体"/>
            <charset val="134"/>
          </rPr>
          <t>根据蓄力计算伤害</t>
        </r>
        <r>
          <rPr>
            <sz val="11"/>
            <color indexed="8"/>
            <rFont val="Helvetica Neue"/>
            <charset val="134"/>
          </rPr>
          <t xml:space="preserve">
SkillType</t>
        </r>
        <r>
          <rPr>
            <sz val="11"/>
            <color indexed="8"/>
            <rFont val="宋体"/>
            <charset val="134"/>
          </rPr>
          <t>为</t>
        </r>
        <r>
          <rPr>
            <sz val="11"/>
            <color indexed="8"/>
            <rFont val="Helvetica Neue"/>
            <charset val="134"/>
          </rPr>
          <t>2</t>
        </r>
        <r>
          <rPr>
            <sz val="11"/>
            <color indexed="8"/>
            <rFont val="宋体"/>
            <charset val="134"/>
          </rPr>
          <t>时</t>
        </r>
        <r>
          <rPr>
            <sz val="11"/>
            <color indexed="8"/>
            <rFont val="Helvetica Neue"/>
            <charset val="134"/>
          </rPr>
          <t xml:space="preserve">
0</t>
        </r>
        <r>
          <rPr>
            <sz val="11"/>
            <color indexed="8"/>
            <rFont val="宋体"/>
            <charset val="134"/>
          </rPr>
          <t xml:space="preserve">：无视
</t>
        </r>
        <r>
          <rPr>
            <sz val="11"/>
            <color indexed="8"/>
            <rFont val="Helvetica Neue"/>
            <charset val="134"/>
          </rPr>
          <t>1</t>
        </r>
        <r>
          <rPr>
            <sz val="11"/>
            <color indexed="8"/>
            <rFont val="宋体"/>
            <charset val="134"/>
          </rPr>
          <t xml:space="preserve">：普通攻击触发概率
</t>
        </r>
        <r>
          <rPr>
            <sz val="11"/>
            <color indexed="8"/>
            <rFont val="Helvetica Neue"/>
            <charset val="134"/>
          </rPr>
          <t>2</t>
        </r>
        <r>
          <rPr>
            <sz val="11"/>
            <color indexed="8"/>
            <rFont val="宋体"/>
            <charset val="134"/>
          </rPr>
          <t xml:space="preserve">：血量低于多少百分比触发
</t>
        </r>
        <r>
          <rPr>
            <sz val="11"/>
            <color indexed="8"/>
            <rFont val="Helvetica Neue"/>
            <charset val="134"/>
          </rPr>
          <t xml:space="preserve">3: </t>
        </r>
        <r>
          <rPr>
            <sz val="11"/>
            <color indexed="8"/>
            <rFont val="宋体"/>
            <charset val="134"/>
          </rPr>
          <t xml:space="preserve">受到伤害触发概率
</t>
        </r>
        <r>
          <rPr>
            <sz val="11"/>
            <color indexed="8"/>
            <rFont val="Helvetica Neue"/>
            <charset val="134"/>
          </rPr>
          <t xml:space="preserve">4: </t>
        </r>
        <r>
          <rPr>
            <sz val="11"/>
            <color indexed="8"/>
            <rFont val="宋体"/>
            <charset val="134"/>
          </rPr>
          <t xml:space="preserve">暴击时触发效果
</t>
        </r>
        <r>
          <rPr>
            <sz val="11"/>
            <color indexed="8"/>
            <rFont val="Helvetica Neue"/>
            <charset val="134"/>
          </rPr>
          <t>5</t>
        </r>
        <r>
          <rPr>
            <sz val="11"/>
            <color indexed="8"/>
            <rFont val="宋体"/>
            <charset val="134"/>
          </rPr>
          <t>：闪避时触发效果
6：即将死亡时触发
7：释放技能时触发
8：更换武器触发
9：近战普攻触发 攻击距离参数 SkillRangeSize&lt;=4
10: 远程普攻触发 攻击距离参数 SkillRangeSize&gt; 4
11：触发天赋效果
12: 自己或队友进入地图时触发
13: 触发眩晕效果时触发
14：站立不动触发
15：切换时触发
16: 普通攻击次数触发
17：普攻(包含远程/近战)+释放技能触发
18: 宠物对战开局前触发</t>
        </r>
      </text>
    </comment>
    <comment ref="Q3" authorId="1">
      <text>
        <r>
          <rPr>
            <sz val="11"/>
            <color indexed="8"/>
            <rFont val="宋体"/>
            <charset val="134"/>
          </rPr>
          <t>作者</t>
        </r>
        <r>
          <rPr>
            <sz val="11"/>
            <color indexed="8"/>
            <rFont val="Helvetica Neue"/>
            <charset val="134"/>
          </rPr>
          <t xml:space="preserve">:
</t>
        </r>
        <r>
          <rPr>
            <sz val="11"/>
            <color indexed="8"/>
            <rFont val="宋体"/>
            <charset val="134"/>
          </rPr>
          <t xml:space="preserve">主动技能无视此字段
玩家被动技能暂时无视
根据前面被动技能此字段含义不同
</t>
        </r>
        <r>
          <rPr>
            <sz val="11"/>
            <color indexed="8"/>
            <rFont val="Helvetica Neue"/>
            <charset val="134"/>
          </rPr>
          <t>1</t>
        </r>
        <r>
          <rPr>
            <sz val="11"/>
            <color indexed="8"/>
            <rFont val="宋体"/>
            <charset val="134"/>
          </rPr>
          <t xml:space="preserve">：概率
</t>
        </r>
        <r>
          <rPr>
            <sz val="11"/>
            <color indexed="8"/>
            <rFont val="Helvetica Neue"/>
            <charset val="134"/>
          </rPr>
          <t>2</t>
        </r>
        <r>
          <rPr>
            <sz val="11"/>
            <color indexed="8"/>
            <rFont val="宋体"/>
            <charset val="134"/>
          </rPr>
          <t xml:space="preserve">：血量比
</t>
        </r>
        <r>
          <rPr>
            <sz val="11"/>
            <color indexed="8"/>
            <rFont val="Helvetica Neue"/>
            <charset val="134"/>
          </rPr>
          <t>3</t>
        </r>
        <r>
          <rPr>
            <sz val="11"/>
            <color indexed="8"/>
            <rFont val="宋体"/>
            <charset val="134"/>
          </rPr>
          <t xml:space="preserve">：概率
</t>
        </r>
        <r>
          <rPr>
            <sz val="11"/>
            <color indexed="8"/>
            <rFont val="Helvetica Neue"/>
            <charset val="134"/>
          </rPr>
          <t xml:space="preserve">4: </t>
        </r>
        <r>
          <rPr>
            <sz val="11"/>
            <color indexed="8"/>
            <rFont val="宋体"/>
            <charset val="134"/>
          </rPr>
          <t xml:space="preserve">概率
</t>
        </r>
        <r>
          <rPr>
            <sz val="11"/>
            <color indexed="8"/>
            <rFont val="Helvetica Neue"/>
            <charset val="134"/>
          </rPr>
          <t>5</t>
        </r>
        <r>
          <rPr>
            <sz val="11"/>
            <color indexed="8"/>
            <rFont val="宋体"/>
            <charset val="134"/>
          </rPr>
          <t xml:space="preserve">：概率
</t>
        </r>
        <r>
          <rPr>
            <sz val="11"/>
            <color indexed="8"/>
            <rFont val="Helvetica Neue"/>
            <charset val="134"/>
          </rPr>
          <t>6</t>
        </r>
        <r>
          <rPr>
            <sz val="11"/>
            <color indexed="8"/>
            <rFont val="宋体"/>
            <charset val="134"/>
          </rPr>
          <t xml:space="preserve">：概率
</t>
        </r>
        <r>
          <rPr>
            <sz val="11"/>
            <color indexed="8"/>
            <rFont val="Helvetica Neue"/>
            <charset val="134"/>
          </rPr>
          <t>7</t>
        </r>
        <r>
          <rPr>
            <sz val="11"/>
            <color indexed="8"/>
            <rFont val="宋体"/>
            <charset val="134"/>
          </rPr>
          <t xml:space="preserve">：概率
</t>
        </r>
      </text>
    </comment>
    <comment ref="R3" authorId="1">
      <text>
        <r>
          <rPr>
            <sz val="11"/>
            <color indexed="8"/>
            <rFont val="Helvetica Neue"/>
            <charset val="134"/>
          </rPr>
          <t>作者:
主动技能无视此字段
是否只触发一次
0：不限制触发次数
1：限制触发1次</t>
        </r>
      </text>
    </comment>
    <comment ref="S3" authorId="0">
      <text>
        <r>
          <rPr>
            <b/>
            <sz val="9"/>
            <rFont val="宋体"/>
            <charset val="134"/>
          </rPr>
          <t>Administrator:
只有被动触发技能触发次字段</t>
        </r>
        <r>
          <rPr>
            <sz val="9"/>
            <rFont val="宋体"/>
            <charset val="134"/>
          </rPr>
          <t xml:space="preserve">
0默认当前 
1 范围内地方单位随机1人 
2 敌方单位距离自己最近的一个人  3 敌方单位距离自己最远的1个人
21 敌方单位随机2个人
101 敌方全体单位</t>
        </r>
      </text>
    </comment>
    <comment ref="T3" authorId="2">
      <text>
        <r>
          <rPr>
            <b/>
            <sz val="9"/>
            <rFont val="宋体"/>
            <charset val="134"/>
          </rPr>
          <t>Admin:</t>
        </r>
        <r>
          <rPr>
            <sz val="9"/>
            <rFont val="宋体"/>
            <charset val="134"/>
          </rPr>
          <t xml:space="preserve">
连招技能ID，普通攻击施放</t>
        </r>
      </text>
    </comment>
    <comment ref="U3" authorId="1">
      <text>
        <r>
          <rPr>
            <sz val="11"/>
            <color indexed="8"/>
            <rFont val="Helvetica Neue"/>
            <charset val="134"/>
          </rPr>
          <t>作者:
0:普通攻击
1:技能攻击</t>
        </r>
      </text>
    </comment>
    <comment ref="V3" authorId="1">
      <text>
        <r>
          <rPr>
            <sz val="11"/>
            <color indexed="8"/>
            <rFont val="Helvetica Neue"/>
            <charset val="134"/>
          </rPr>
          <t>作者:
1:物理攻击
2:魔法攻击</t>
        </r>
      </text>
    </comment>
    <comment ref="W3" authorId="1">
      <text>
        <r>
          <rPr>
            <sz val="11"/>
            <color indexed="8"/>
            <rFont val="Helvetica Neue"/>
            <charset val="134"/>
          </rPr>
          <t>作者:
0:普通
1：光
2：暗
3：火
4：水
5：电</t>
        </r>
      </text>
    </comment>
    <comment ref="X3" authorId="1">
      <text>
        <r>
          <rPr>
            <sz val="11"/>
            <color indexed="8"/>
            <rFont val="Helvetica Neue"/>
            <charset val="134"/>
          </rPr>
          <t>作者:
一般用错攻击系数1=100%</t>
        </r>
      </text>
    </comment>
    <comment ref="Z3" authorId="1">
      <text>
        <r>
          <rPr>
            <sz val="11"/>
            <color indexed="8"/>
            <rFont val="Helvetica Neue"/>
            <charset val="134"/>
          </rPr>
          <t>作者:
加血技能此字段为加血值</t>
        </r>
      </text>
    </comment>
    <comment ref="AA3" authorId="1">
      <text>
        <r>
          <rPr>
            <sz val="11"/>
            <color indexed="8"/>
            <rFont val="Helvetica Neue"/>
            <charset val="134"/>
          </rPr>
          <t>作者:
0 不是必中
1 技能伤害为必中</t>
        </r>
      </text>
    </comment>
    <comment ref="AB3" authorId="0">
      <text>
        <r>
          <rPr>
            <b/>
            <sz val="9"/>
            <rFont val="Tahoma"/>
            <charset val="134"/>
          </rPr>
          <t>Administrator:</t>
        </r>
        <r>
          <rPr>
            <sz val="9"/>
            <rFont val="Tahoma"/>
            <charset val="134"/>
          </rPr>
          <t xml:space="preserve">
</t>
        </r>
        <r>
          <rPr>
            <sz val="9"/>
            <rFont val="宋体"/>
            <charset val="134"/>
          </rPr>
          <t>战士无视
法师魔法
猎人能量</t>
        </r>
      </text>
    </comment>
    <comment ref="AD3" authorId="1">
      <text>
        <r>
          <rPr>
            <sz val="11"/>
            <color indexed="8"/>
            <rFont val="Helvetica Neue"/>
            <charset val="134"/>
          </rPr>
          <t>作者:
0：触发
1：不触发</t>
        </r>
      </text>
    </comment>
    <comment ref="AE3" authorId="1">
      <text>
        <r>
          <rPr>
            <sz val="11"/>
            <color indexed="8"/>
            <rFont val="Helvetica Neue"/>
            <charset val="134"/>
          </rPr>
          <t>作者:
0：触发
1：不触发</t>
        </r>
      </text>
    </comment>
    <comment ref="AG3" authorId="1">
      <text>
        <r>
          <rPr>
            <sz val="11"/>
            <color indexed="8"/>
            <rFont val="宋体"/>
            <charset val="134"/>
          </rPr>
          <t>作者</t>
        </r>
        <r>
          <rPr>
            <sz val="11"/>
            <color indexed="8"/>
            <rFont val="Helvetica Neue"/>
            <charset val="134"/>
          </rPr>
          <t>:</t>
        </r>
        <r>
          <rPr>
            <sz val="11"/>
            <color indexed="8"/>
            <rFont val="宋体"/>
            <charset val="134"/>
          </rPr>
          <t xml:space="preserve">
</t>
        </r>
        <r>
          <rPr>
            <sz val="11"/>
            <color indexed="8"/>
            <rFont val="Helvetica Neue"/>
            <charset val="134"/>
          </rPr>
          <t>1</t>
        </r>
        <r>
          <rPr>
            <sz val="11"/>
            <color indexed="8"/>
            <rFont val="宋体"/>
            <charset val="134"/>
          </rPr>
          <t xml:space="preserve">：配置表配置（球形）
</t>
        </r>
        <r>
          <rPr>
            <sz val="11"/>
            <color indexed="8"/>
            <rFont val="Helvetica Neue"/>
            <charset val="134"/>
          </rPr>
          <t>2</t>
        </r>
        <r>
          <rPr>
            <sz val="11"/>
            <color indexed="8"/>
            <rFont val="宋体"/>
            <charset val="134"/>
          </rPr>
          <t xml:space="preserve">：配置表配置（方形）
</t>
        </r>
        <r>
          <rPr>
            <sz val="11"/>
            <color indexed="8"/>
            <rFont val="Helvetica Neue"/>
            <charset val="134"/>
          </rPr>
          <t>3</t>
        </r>
        <r>
          <rPr>
            <sz val="11"/>
            <color indexed="8"/>
            <rFont val="宋体"/>
            <charset val="134"/>
          </rPr>
          <t>：</t>
        </r>
      </text>
    </comment>
    <comment ref="AH3" authorId="1">
      <text>
        <r>
          <rPr>
            <sz val="11"/>
            <color indexed="8"/>
            <rFont val="宋体"/>
            <charset val="134"/>
          </rPr>
          <t>作者</t>
        </r>
        <r>
          <rPr>
            <sz val="11"/>
            <color indexed="8"/>
            <rFont val="Helvetica Neue"/>
            <charset val="134"/>
          </rPr>
          <t xml:space="preserve">:
</t>
        </r>
        <r>
          <rPr>
            <sz val="11"/>
            <color indexed="8"/>
            <rFont val="宋体"/>
            <charset val="134"/>
          </rPr>
          <t>范围类型为</t>
        </r>
        <r>
          <rPr>
            <sz val="11"/>
            <color indexed="8"/>
            <rFont val="Helvetica Neue"/>
            <charset val="134"/>
          </rPr>
          <t>1</t>
        </r>
        <r>
          <rPr>
            <sz val="11"/>
            <color indexed="8"/>
            <rFont val="宋体"/>
            <charset val="134"/>
          </rPr>
          <t>：
球的范围
范围类型为</t>
        </r>
        <r>
          <rPr>
            <sz val="11"/>
            <color indexed="8"/>
            <rFont val="Helvetica Neue"/>
            <charset val="134"/>
          </rPr>
          <t>2</t>
        </r>
        <r>
          <rPr>
            <sz val="11"/>
            <color indexed="8"/>
            <rFont val="宋体"/>
            <charset val="134"/>
          </rPr>
          <t xml:space="preserve">：
</t>
        </r>
        <r>
          <rPr>
            <sz val="11"/>
            <color indexed="8"/>
            <rFont val="Helvetica Neue"/>
            <charset val="134"/>
          </rPr>
          <t>2</t>
        </r>
        <r>
          <rPr>
            <sz val="11"/>
            <color indexed="8"/>
            <rFont val="宋体"/>
            <charset val="134"/>
          </rPr>
          <t>个参数</t>
        </r>
        <r>
          <rPr>
            <sz val="11"/>
            <color indexed="8"/>
            <rFont val="Helvetica Neue"/>
            <charset val="134"/>
          </rPr>
          <t xml:space="preserve">;X,Y </t>
        </r>
        <r>
          <rPr>
            <sz val="11"/>
            <color indexed="8"/>
            <rFont val="宋体"/>
            <charset val="134"/>
          </rPr>
          <t>表示矩形的大小
范围类型为</t>
        </r>
        <r>
          <rPr>
            <sz val="11"/>
            <color indexed="8"/>
            <rFont val="Helvetica Neue"/>
            <charset val="134"/>
          </rPr>
          <t>3</t>
        </r>
        <r>
          <rPr>
            <sz val="11"/>
            <color indexed="8"/>
            <rFont val="宋体"/>
            <charset val="134"/>
          </rPr>
          <t>：
扇形的边长</t>
        </r>
        <r>
          <rPr>
            <sz val="11"/>
            <color indexed="8"/>
            <rFont val="Helvetica Neue"/>
            <charset val="134"/>
          </rPr>
          <t>,</t>
        </r>
        <r>
          <rPr>
            <sz val="11"/>
            <color indexed="8"/>
            <rFont val="宋体"/>
            <charset val="134"/>
          </rPr>
          <t>扇形的角度（</t>
        </r>
        <r>
          <rPr>
            <sz val="11"/>
            <color indexed="8"/>
            <rFont val="Helvetica Neue"/>
            <charset val="134"/>
          </rPr>
          <t xml:space="preserve">3,60 </t>
        </r>
        <r>
          <rPr>
            <sz val="11"/>
            <color indexed="8"/>
            <rFont val="宋体"/>
            <charset val="134"/>
          </rPr>
          <t>就是</t>
        </r>
        <r>
          <rPr>
            <sz val="11"/>
            <color indexed="8"/>
            <rFont val="Helvetica Neue"/>
            <charset val="134"/>
          </rPr>
          <t>3</t>
        </r>
        <r>
          <rPr>
            <sz val="11"/>
            <color indexed="8"/>
            <rFont val="宋体"/>
            <charset val="134"/>
          </rPr>
          <t>变成</t>
        </r>
        <r>
          <rPr>
            <sz val="11"/>
            <color indexed="8"/>
            <rFont val="Helvetica Neue"/>
            <charset val="134"/>
          </rPr>
          <t>60</t>
        </r>
        <r>
          <rPr>
            <sz val="11"/>
            <color indexed="8"/>
            <rFont val="宋体"/>
            <charset val="134"/>
          </rPr>
          <t>角度）
范围类型为</t>
        </r>
        <r>
          <rPr>
            <sz val="11"/>
            <color indexed="8"/>
            <rFont val="Helvetica Neue"/>
            <charset val="134"/>
          </rPr>
          <t>4</t>
        </r>
        <r>
          <rPr>
            <sz val="11"/>
            <color indexed="8"/>
            <rFont val="宋体"/>
            <charset val="134"/>
          </rPr>
          <t>：
因为是立即造成伤害</t>
        </r>
        <r>
          <rPr>
            <sz val="11"/>
            <color indexed="8"/>
            <rFont val="Helvetica Neue"/>
            <charset val="134"/>
          </rPr>
          <t>,</t>
        </r>
        <r>
          <rPr>
            <sz val="11"/>
            <color indexed="8"/>
            <rFont val="宋体"/>
            <charset val="134"/>
          </rPr>
          <t>此值表示触发技能的攻击距离，当与目标超过次距离则释放技能失败
范围类型为</t>
        </r>
        <r>
          <rPr>
            <sz val="11"/>
            <color indexed="8"/>
            <rFont val="Helvetica Neue"/>
            <charset val="134"/>
          </rPr>
          <t>5</t>
        </r>
        <r>
          <rPr>
            <sz val="11"/>
            <color indexed="8"/>
            <rFont val="宋体"/>
            <charset val="134"/>
          </rPr>
          <t>：
球的范围
如果技能目标为</t>
        </r>
        <r>
          <rPr>
            <sz val="11"/>
            <color indexed="8"/>
            <rFont val="Helvetica Neue"/>
            <charset val="134"/>
          </rPr>
          <t>7,</t>
        </r>
        <r>
          <rPr>
            <sz val="11"/>
            <color indexed="8"/>
            <rFont val="宋体"/>
            <charset val="134"/>
          </rPr>
          <t>技能类型为普通攻击</t>
        </r>
        <r>
          <rPr>
            <sz val="11"/>
            <color indexed="8"/>
            <rFont val="Helvetica Neue"/>
            <charset val="134"/>
          </rPr>
          <t>,</t>
        </r>
        <r>
          <rPr>
            <sz val="11"/>
            <color indexed="8"/>
            <rFont val="宋体"/>
            <charset val="134"/>
          </rPr>
          <t>攻击超过此字段距离攻击将无效</t>
        </r>
        <r>
          <rPr>
            <sz val="11"/>
            <color indexed="8"/>
            <rFont val="Helvetica Neue"/>
            <charset val="134"/>
          </rPr>
          <t xml:space="preserve">
";"</t>
        </r>
        <r>
          <rPr>
            <sz val="11"/>
            <color indexed="8"/>
            <rFont val="宋体"/>
            <charset val="134"/>
          </rPr>
          <t>号后面为碰撞体</t>
        </r>
        <r>
          <rPr>
            <sz val="11"/>
            <color indexed="8"/>
            <rFont val="Helvetica Neue"/>
            <charset val="134"/>
          </rPr>
          <t>Center</t>
        </r>
        <r>
          <rPr>
            <sz val="11"/>
            <color indexed="8"/>
            <rFont val="宋体"/>
            <charset val="134"/>
          </rPr>
          <t>位置</t>
        </r>
        <r>
          <rPr>
            <sz val="11"/>
            <color indexed="8"/>
            <rFont val="Helvetica Neue"/>
            <charset val="134"/>
          </rPr>
          <t>,</t>
        </r>
        <r>
          <rPr>
            <sz val="11"/>
            <color indexed="8"/>
            <rFont val="宋体"/>
            <charset val="134"/>
          </rPr>
          <t>用于设置位置</t>
        </r>
        <r>
          <rPr>
            <sz val="11"/>
            <color indexed="8"/>
            <rFont val="Helvetica Neue"/>
            <charset val="134"/>
          </rPr>
          <t>,</t>
        </r>
        <r>
          <rPr>
            <sz val="11"/>
            <color indexed="8"/>
            <rFont val="宋体"/>
            <charset val="134"/>
          </rPr>
          <t>可以不填，为默认</t>
        </r>
        <r>
          <rPr>
            <sz val="11"/>
            <color indexed="8"/>
            <rFont val="Helvetica Neue"/>
            <charset val="134"/>
          </rPr>
          <t xml:space="preserve">0 0 0 </t>
        </r>
        <r>
          <rPr>
            <sz val="11"/>
            <color indexed="8"/>
            <rFont val="宋体"/>
            <charset val="134"/>
          </rPr>
          <t xml:space="preserve">也就是中心点
</t>
        </r>
      </text>
    </comment>
    <comment ref="AI3" authorId="2">
      <text>
        <r>
          <rPr>
            <b/>
            <sz val="9"/>
            <rFont val="宋体"/>
            <charset val="134"/>
          </rPr>
          <t>Admin:</t>
        </r>
        <r>
          <rPr>
            <sz val="9"/>
            <rFont val="宋体"/>
            <charset val="134"/>
          </rPr>
          <t xml:space="preserve">
0  立即释放,自身中心点范围
1  立即释放,目标中心点范围
2  技能圆形指示器定点释放
3  自身中心点随机
4  目标中心点随机
5  技能圆形指示定点位置随机
6  跟随目标随机
7  单体指定目标
8  单体指定自己
9  Skill_ComSelfRang_Damge_1 伤害监测点跟随自己
10 单体技能多个目标</t>
        </r>
      </text>
    </comment>
    <comment ref="AJ3" authorId="1">
      <text>
        <r>
          <rPr>
            <sz val="11"/>
            <color indexed="8"/>
            <rFont val="宋体"/>
            <charset val="134"/>
          </rPr>
          <t>作者</t>
        </r>
        <r>
          <rPr>
            <sz val="11"/>
            <color indexed="8"/>
            <rFont val="Helvetica Neue"/>
            <charset val="134"/>
          </rPr>
          <t>:
0</t>
        </r>
        <r>
          <rPr>
            <sz val="11"/>
            <color indexed="8"/>
            <rFont val="宋体"/>
            <charset val="134"/>
          </rPr>
          <t xml:space="preserve">：
</t>
        </r>
        <r>
          <rPr>
            <sz val="11"/>
            <color indexed="8"/>
            <rFont val="Helvetica Neue"/>
            <charset val="134"/>
          </rPr>
          <t>1</t>
        </r>
        <r>
          <rPr>
            <sz val="11"/>
            <color indexed="8"/>
            <rFont val="宋体"/>
            <charset val="134"/>
          </rPr>
          <t xml:space="preserve">：表示需要释放前需要选中释放范围
</t>
        </r>
        <r>
          <rPr>
            <sz val="11"/>
            <color indexed="8"/>
            <rFont val="Helvetica Neue"/>
            <charset val="134"/>
          </rPr>
          <t xml:space="preserve">2: </t>
        </r>
        <r>
          <rPr>
            <sz val="11"/>
            <color indexed="8"/>
            <rFont val="宋体"/>
            <charset val="134"/>
          </rPr>
          <t>直线释放</t>
        </r>
        <r>
          <rPr>
            <sz val="11"/>
            <color indexed="8"/>
            <rFont val="Helvetica Neue"/>
            <charset val="134"/>
          </rPr>
          <t>.</t>
        </r>
        <r>
          <rPr>
            <sz val="11"/>
            <color indexed="8"/>
            <rFont val="宋体"/>
            <charset val="134"/>
          </rPr>
          <t xml:space="preserve">弹道
</t>
        </r>
        <r>
          <rPr>
            <sz val="11"/>
            <color indexed="8"/>
            <rFont val="Helvetica Neue"/>
            <charset val="134"/>
          </rPr>
          <t xml:space="preserve">3: 60°
4: 120°
</t>
        </r>
        <r>
          <rPr>
            <sz val="11"/>
            <color indexed="8"/>
            <rFont val="宋体"/>
            <charset val="134"/>
          </rPr>
          <t xml:space="preserve">
</t>
        </r>
      </text>
    </comment>
    <comment ref="AK3" authorId="1">
      <text>
        <r>
          <rPr>
            <sz val="11"/>
            <color indexed="8"/>
            <rFont val="宋体"/>
            <charset val="134"/>
          </rPr>
          <t>作者</t>
        </r>
        <r>
          <rPr>
            <sz val="11"/>
            <color indexed="8"/>
            <rFont val="Helvetica Neue"/>
            <charset val="134"/>
          </rPr>
          <t>:
0</t>
        </r>
        <r>
          <rPr>
            <sz val="11"/>
            <color indexed="8"/>
            <rFont val="宋体"/>
            <charset val="134"/>
          </rPr>
          <t xml:space="preserve">：默认当前目标
</t>
        </r>
        <r>
          <rPr>
            <sz val="11"/>
            <color indexed="8"/>
            <rFont val="Helvetica Neue"/>
            <charset val="134"/>
          </rPr>
          <t>1</t>
        </r>
        <r>
          <rPr>
            <sz val="11"/>
            <color indexed="8"/>
            <rFont val="宋体"/>
            <charset val="134"/>
          </rPr>
          <t xml:space="preserve">：默认以自己为释放点
</t>
        </r>
        <r>
          <rPr>
            <sz val="11"/>
            <color indexed="8"/>
            <rFont val="Helvetica Neue"/>
            <charset val="134"/>
          </rPr>
          <t>2</t>
        </r>
        <r>
          <rPr>
            <sz val="11"/>
            <color indexed="8"/>
            <rFont val="宋体"/>
            <charset val="134"/>
          </rPr>
          <t>：默认当前角色朝向的最远处</t>
        </r>
        <r>
          <rPr>
            <sz val="11"/>
            <color indexed="8"/>
            <rFont val="Helvetica Neue"/>
            <charset val="134"/>
          </rPr>
          <t xml:space="preserve">
</t>
        </r>
        <r>
          <rPr>
            <sz val="11"/>
            <color indexed="8"/>
            <rFont val="宋体"/>
            <charset val="134"/>
          </rPr>
          <t xml:space="preserve">
</t>
        </r>
      </text>
    </comment>
    <comment ref="AL3" authorId="1">
      <text>
        <r>
          <rPr>
            <sz val="11"/>
            <color indexed="8"/>
            <rFont val="宋体"/>
            <charset val="134"/>
          </rPr>
          <t>作者</t>
        </r>
        <r>
          <rPr>
            <sz val="11"/>
            <color indexed="8"/>
            <rFont val="Helvetica Neue"/>
            <charset val="134"/>
          </rPr>
          <t xml:space="preserve">:
</t>
        </r>
        <r>
          <rPr>
            <sz val="11"/>
            <color indexed="8"/>
            <rFont val="宋体"/>
            <charset val="134"/>
          </rPr>
          <t>与前面字段匹配</t>
        </r>
        <r>
          <rPr>
            <sz val="11"/>
            <color indexed="8"/>
            <rFont val="Helvetica Neue"/>
            <charset val="134"/>
          </rPr>
          <t xml:space="preserve">,
</t>
        </r>
        <r>
          <rPr>
            <sz val="11"/>
            <color indexed="8"/>
            <rFont val="宋体"/>
            <charset val="134"/>
          </rPr>
          <t>当技能有范围选择时此参数有效</t>
        </r>
        <r>
          <rPr>
            <sz val="11"/>
            <color indexed="8"/>
            <rFont val="Helvetica Neue"/>
            <charset val="134"/>
          </rPr>
          <t>,</t>
        </r>
        <r>
          <rPr>
            <sz val="11"/>
            <color indexed="8"/>
            <rFont val="宋体"/>
            <charset val="134"/>
          </rPr>
          <t>默认大小为</t>
        </r>
        <r>
          <rPr>
            <sz val="11"/>
            <color indexed="8"/>
            <rFont val="Helvetica Neue"/>
            <charset val="134"/>
          </rPr>
          <t>1
1=20(</t>
        </r>
        <r>
          <rPr>
            <sz val="11"/>
            <color indexed="8"/>
            <rFont val="宋体"/>
            <charset val="134"/>
          </rPr>
          <t>脚本内的</t>
        </r>
        <r>
          <rPr>
            <sz val="11"/>
            <color indexed="8"/>
            <rFont val="Helvetica Neue"/>
            <charset val="134"/>
          </rPr>
          <t>20</t>
        </r>
        <r>
          <rPr>
            <sz val="11"/>
            <color indexed="8"/>
            <rFont val="宋体"/>
            <charset val="134"/>
          </rPr>
          <t>大小</t>
        </r>
        <r>
          <rPr>
            <sz val="11"/>
            <color indexed="8"/>
            <rFont val="Helvetica Neue"/>
            <charset val="134"/>
          </rPr>
          <t>)</t>
        </r>
      </text>
    </comment>
    <comment ref="AM3" authorId="0">
      <text>
        <r>
          <rPr>
            <b/>
            <sz val="9"/>
            <rFont val="宋体"/>
            <charset val="134"/>
          </rPr>
          <t>Administrator:</t>
        </r>
        <r>
          <rPr>
            <sz val="9"/>
            <rFont val="宋体"/>
            <charset val="134"/>
          </rPr>
          <t xml:space="preserve">
SkillRangeSize为1表示释放范围
其他表示技能指示器范围大小,技能触发点均为中心点</t>
        </r>
      </text>
    </comment>
    <comment ref="AN3" authorId="1">
      <text>
        <r>
          <rPr>
            <sz val="11"/>
            <color indexed="8"/>
            <rFont val="Helvetica Neue"/>
            <charset val="134"/>
          </rPr>
          <t>作者:
施法前的前置吟唱时间
0为没有施法吟唱时间</t>
        </r>
      </text>
    </comment>
    <comment ref="AO3" authorId="1">
      <text>
        <r>
          <rPr>
            <sz val="11"/>
            <color indexed="8"/>
            <rFont val="Helvetica Neue"/>
            <charset val="134"/>
          </rPr>
          <t>作者:
释放技能的吟唱时间,如果中途移动会被中断释放，受到攻击会加快吟唱时间
0表示没有吟唱时间</t>
        </r>
      </text>
    </comment>
    <comment ref="AP3" authorId="1">
      <text>
        <r>
          <rPr>
            <sz val="11"/>
            <color indexed="8"/>
            <rFont val="宋体"/>
            <charset val="134"/>
          </rPr>
          <t>作者</t>
        </r>
        <r>
          <rPr>
            <sz val="11"/>
            <color indexed="8"/>
            <rFont val="Helvetica Neue"/>
            <charset val="134"/>
          </rPr>
          <t xml:space="preserve">:
</t>
        </r>
        <r>
          <rPr>
            <sz val="11"/>
            <color indexed="8"/>
            <rFont val="宋体"/>
            <charset val="134"/>
          </rPr>
          <t>角色停止移动配合播放动作</t>
        </r>
        <r>
          <rPr>
            <sz val="11"/>
            <color indexed="8"/>
            <rFont val="Helvetica Neue"/>
            <charset val="134"/>
          </rPr>
          <t xml:space="preserve"> </t>
        </r>
        <r>
          <rPr>
            <sz val="11"/>
            <color indexed="8"/>
            <rFont val="宋体"/>
            <charset val="134"/>
          </rPr>
          <t xml:space="preserve">单位：秒
</t>
        </r>
        <r>
          <rPr>
            <sz val="11"/>
            <color indexed="8"/>
            <rFont val="Helvetica Neue"/>
            <charset val="134"/>
          </rPr>
          <t xml:space="preserve">
0</t>
        </r>
        <r>
          <rPr>
            <sz val="11"/>
            <color indexed="8"/>
            <rFont val="宋体"/>
            <charset val="134"/>
          </rPr>
          <t>：表示没有技能僵直
一般用于释放</t>
        </r>
        <r>
          <rPr>
            <sz val="11"/>
            <color indexed="8"/>
            <rFont val="Helvetica Neue"/>
            <charset val="134"/>
          </rPr>
          <t>Buff,</t>
        </r>
        <r>
          <rPr>
            <sz val="11"/>
            <color indexed="8"/>
            <rFont val="宋体"/>
            <charset val="134"/>
          </rPr>
          <t>如果为</t>
        </r>
        <r>
          <rPr>
            <sz val="11"/>
            <color indexed="8"/>
            <rFont val="Helvetica Neue"/>
            <charset val="134"/>
          </rPr>
          <t>0,</t>
        </r>
        <r>
          <rPr>
            <sz val="11"/>
            <color indexed="8"/>
            <rFont val="宋体"/>
            <charset val="134"/>
          </rPr>
          <t>攻击的时候会播放不出攻击动作</t>
        </r>
      </text>
    </comment>
    <comment ref="AQ3" authorId="1">
      <text>
        <r>
          <rPr>
            <sz val="11"/>
            <color indexed="8"/>
            <rFont val="宋体"/>
            <charset val="134"/>
          </rPr>
          <t>作者</t>
        </r>
        <r>
          <rPr>
            <sz val="11"/>
            <color indexed="8"/>
            <rFont val="Helvetica Neue"/>
            <charset val="134"/>
          </rPr>
          <t xml:space="preserve">:
</t>
        </r>
        <r>
          <rPr>
            <sz val="11"/>
            <color indexed="8"/>
            <rFont val="宋体"/>
            <charset val="134"/>
          </rPr>
          <t>一般脚本随着此时间注销</t>
        </r>
      </text>
    </comment>
    <comment ref="AR3" authorId="1">
      <text>
        <r>
          <rPr>
            <sz val="11"/>
            <color indexed="8"/>
            <rFont val="Helvetica Neue"/>
            <charset val="134"/>
          </rPr>
          <t>作者:
技能特效释放的延迟时间，配合动作的
和前面技能僵直的区别是这个延迟是决定播放动作到放出对应技能特效的时间
如果技能消耗道具并同时决定玩家按下技能触发消耗之间的延迟时间</t>
        </r>
      </text>
    </comment>
    <comment ref="AS3" authorId="1">
      <text>
        <r>
          <rPr>
            <sz val="11"/>
            <color indexed="8"/>
            <rFont val="Helvetica Neue"/>
            <charset val="134"/>
          </rPr>
          <t>作者:
如果技能自身释放后有移动效果使用此值
每秒移动的距离</t>
        </r>
      </text>
    </comment>
    <comment ref="AT3" authorId="1">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U3" authorId="1">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W3" authorId="1">
      <text>
        <r>
          <rPr>
            <sz val="11"/>
            <color indexed="8"/>
            <rFont val="Helvetica Neue"/>
            <charset val="134"/>
          </rPr>
          <t>作者:
施法动作的名称</t>
        </r>
      </text>
    </comment>
    <comment ref="BA3" authorId="0">
      <text>
        <r>
          <rPr>
            <b/>
            <sz val="9"/>
            <rFont val="宋体"/>
            <charset val="134"/>
          </rPr>
          <t>Administrator:</t>
        </r>
        <r>
          <rPr>
            <sz val="9"/>
            <rFont val="宋体"/>
            <charset val="134"/>
          </rPr>
          <t xml:space="preserve">
匹配某个脚本才读取此字段的参数,默认0
Skill_Com_Summon_1
召唤怪物ID；召唤坐标（0表示在自己脚底下）；召唤数量;召唤范围
Skill_ComSelfRang_Damge_2
2次技能伤害效果触发间隔时间
当SkillTargetType值为3，4，5时有效果
技能ID；技能数量；技能随机的范围
6时
技能ID: 技能ID;间隔时间;总时间
Skill_Com_Summon_2
召唤ID；是否复刻玩家形象（0不是，1是）；范围；数量；血量比例,攻击比例,魔法比例,物防比例，魔防比例；血量固定值,攻击固定值，魔法固定值，物防固定值，魔防固定值;召唤互斥的怪物ID,防止猎人召唤不同技能召唤多只(此参数可以设置为空,空就无视互斥直接召唤)
GameObjectParameter
0 表示冲锋可以略过目标
1 遇到目标停止
Skill_ComTargetMove_RangDamge_3
角度;出现矩形伤害数量
Skill_XuanZhuan_Attack
1秒旋转角度,攻击柱的数量
Skill_Range_Bomb_1
间隔时间,触发技能ID
Skill_MonsterMatrix
召唤ID；是否复刻玩家形象（0不是，1是）；范围；矩阵X数量,矩阵Y数量,矩阵内召唤最大数量；血量比例,攻击比例,魔法比例,物防比例，魔防比例；血量固定值,攻击固定值，魔法固定值，物防固定值，魔防固定值
Skill_Pull_Monster_2
0 拉怪  1 拉人和拉怪</t>
        </r>
      </text>
    </comment>
    <comment ref="BB3" authorId="0">
      <text>
        <r>
          <rPr>
            <b/>
            <sz val="9"/>
            <rFont val="宋体"/>
            <charset val="134"/>
          </rPr>
          <t>Administrator:</t>
        </r>
        <r>
          <rPr>
            <sz val="9"/>
            <rFont val="宋体"/>
            <charset val="134"/>
          </rPr>
          <t xml:space="preserve">
1：目标血量低于多少,攻击提升多少
参数说明 1;目标血量;提升伤害百分
2: 目标血量低于多少攻击提升多少
参数说明 2;目标血量;提升伤害百分比
3: 自身血量低于多少攻击提升多少
参数说明 3:自身血量:提升伤害百分比</t>
        </r>
      </text>
    </comment>
    <comment ref="BC3" authorId="0">
      <text>
        <r>
          <rPr>
            <b/>
            <sz val="9"/>
            <rFont val="宋体"/>
            <charset val="134"/>
          </rPr>
          <t>Administrator:</t>
        </r>
        <r>
          <rPr>
            <sz val="9"/>
            <rFont val="宋体"/>
            <charset val="134"/>
          </rPr>
          <t xml:space="preserve">
0:显示
1:不显示</t>
        </r>
      </text>
    </comment>
    <comment ref="BG3" authorId="1">
      <text>
        <r>
          <rPr>
            <sz val="11"/>
            <color indexed="8"/>
            <rFont val="Helvetica Neue"/>
            <charset val="134"/>
          </rPr>
          <t>作者:
怪物被动技能调用此字段
0：默认0,功能和1一样
1：每次攻击行为触发
2：每次攻击动作触发（怪物播放指定普通攻击动作到指定帧触发）</t>
        </r>
      </text>
    </comment>
    <comment ref="BH3" authorId="1">
      <text>
        <r>
          <rPr>
            <sz val="11"/>
            <color indexed="8"/>
            <rFont val="宋体"/>
            <charset val="134"/>
          </rPr>
          <t>作者</t>
        </r>
        <r>
          <rPr>
            <sz val="11"/>
            <color indexed="8"/>
            <rFont val="Helvetica Neue"/>
            <charset val="134"/>
          </rPr>
          <t xml:space="preserve">:
</t>
        </r>
        <r>
          <rPr>
            <sz val="11"/>
            <color indexed="8"/>
            <rFont val="宋体"/>
            <charset val="134"/>
          </rPr>
          <t xml:space="preserve">施法时是否要面朝目标做出施法动作
</t>
        </r>
        <r>
          <rPr>
            <sz val="11"/>
            <color indexed="8"/>
            <rFont val="Helvetica Neue"/>
            <charset val="134"/>
          </rPr>
          <t>0</t>
        </r>
        <r>
          <rPr>
            <sz val="11"/>
            <color indexed="8"/>
            <rFont val="宋体"/>
            <charset val="134"/>
          </rPr>
          <t xml:space="preserve">：需要
</t>
        </r>
        <r>
          <rPr>
            <sz val="11"/>
            <color indexed="8"/>
            <rFont val="Helvetica Neue"/>
            <charset val="134"/>
          </rPr>
          <t>1</t>
        </r>
        <r>
          <rPr>
            <sz val="11"/>
            <color indexed="8"/>
            <rFont val="宋体"/>
            <charset val="134"/>
          </rPr>
          <t>：不需要
如果技能有施法范围可以忽略此选项</t>
        </r>
        <r>
          <rPr>
            <sz val="11"/>
            <color indexed="8"/>
            <rFont val="Helvetica Neue"/>
            <charset val="134"/>
          </rPr>
          <t>,</t>
        </r>
        <r>
          <rPr>
            <sz val="11"/>
            <color indexed="8"/>
            <rFont val="宋体"/>
            <charset val="134"/>
          </rPr>
          <t>施法范围的技能自带看目标</t>
        </r>
      </text>
    </comment>
    <comment ref="BI3" authorId="1">
      <text>
        <r>
          <rPr>
            <sz val="11"/>
            <color indexed="8"/>
            <rFont val="Helvetica Neue"/>
            <charset val="134"/>
          </rPr>
          <t>作者:
怪物才使用此字段,表示某个技能多久后延迟释放
0：没有延迟</t>
        </r>
      </text>
    </comment>
    <comment ref="BJ3" authorId="0">
      <text>
        <r>
          <rPr>
            <b/>
            <sz val="9"/>
            <rFont val="Tahoma"/>
            <charset val="134"/>
          </rPr>
          <t>Administrator:</t>
        </r>
        <r>
          <rPr>
            <sz val="9"/>
            <rFont val="Tahoma"/>
            <charset val="134"/>
          </rPr>
          <t xml:space="preserve">
</t>
        </r>
        <r>
          <rPr>
            <sz val="9"/>
            <rFont val="宋体"/>
            <charset val="134"/>
          </rPr>
          <t>多个互斥</t>
        </r>
        <r>
          <rPr>
            <sz val="9"/>
            <rFont val="Tahoma"/>
            <charset val="134"/>
          </rPr>
          <t>ID</t>
        </r>
        <r>
          <rPr>
            <sz val="9"/>
            <rFont val="宋体"/>
            <charset val="134"/>
          </rPr>
          <t>用</t>
        </r>
        <r>
          <rPr>
            <sz val="9"/>
            <rFont val="Tahoma"/>
            <charset val="134"/>
          </rPr>
          <t>;</t>
        </r>
        <r>
          <rPr>
            <sz val="9"/>
            <rFont val="宋体"/>
            <charset val="134"/>
          </rPr>
          <t>号</t>
        </r>
      </text>
    </comment>
    <comment ref="BL3" authorId="0">
      <text>
        <r>
          <rPr>
            <b/>
            <sz val="9"/>
            <rFont val="宋体"/>
            <charset val="134"/>
          </rPr>
          <t>Administrator:</t>
        </r>
        <r>
          <rPr>
            <sz val="9"/>
            <rFont val="宋体"/>
            <charset val="134"/>
          </rPr>
          <t xml:space="preserve">
0:中断
1:不中断</t>
        </r>
      </text>
    </comment>
    <comment ref="BQ3" authorId="0">
      <text>
        <r>
          <rPr>
            <b/>
            <sz val="9"/>
            <rFont val="宋体"/>
            <charset val="134"/>
          </rPr>
          <t>Administrator:</t>
        </r>
        <r>
          <rPr>
            <sz val="9"/>
            <rFont val="宋体"/>
            <charset val="134"/>
          </rPr>
          <t xml:space="preserve">
用于一些怪物不想让其显示技能指示器
0 显示 1 不显示</t>
        </r>
      </text>
    </comment>
    <comment ref="BI4" authorId="1">
      <text>
        <r>
          <rPr>
            <sz val="11"/>
            <color indexed="8"/>
            <rFont val="Helvetica Neue"/>
            <charset val="134"/>
          </rPr>
          <t>作者:
怪物技能使用此字段</t>
        </r>
      </text>
    </comment>
  </commentList>
</comments>
</file>

<file path=xl/sharedStrings.xml><?xml version="1.0" encoding="utf-8"?>
<sst xmlns="http://schemas.openxmlformats.org/spreadsheetml/2006/main" count="449" uniqueCount="257">
  <si>
    <t>Id</t>
  </si>
  <si>
    <t>技能名称</t>
  </si>
  <si>
    <t>脚本名称</t>
  </si>
  <si>
    <t>技能等级</t>
  </si>
  <si>
    <t>技能Icon</t>
  </si>
  <si>
    <t>下一级技能</t>
  </si>
  <si>
    <t>使用武器触发</t>
  </si>
  <si>
    <t>学习技能等级</t>
  </si>
  <si>
    <t>升级消耗SP值</t>
  </si>
  <si>
    <t>升级消耗金币</t>
  </si>
  <si>
    <t>被控制是否可以放技能</t>
  </si>
  <si>
    <t>装备升级前ID</t>
  </si>
  <si>
    <t>技能类型</t>
  </si>
  <si>
    <t>被动技能触发类型</t>
  </si>
  <si>
    <t>被动技能触发参数</t>
  </si>
  <si>
    <t>被动技能触发一次</t>
  </si>
  <si>
    <t>施法目标</t>
  </si>
  <si>
    <t>连招技能ID</t>
  </si>
  <si>
    <t>技能攻击类型</t>
  </si>
  <si>
    <t>伤害类型</t>
  </si>
  <si>
    <t>伤害元素攻击</t>
  </si>
  <si>
    <t>攻击系数</t>
  </si>
  <si>
    <t>怪物攻击系数</t>
  </si>
  <si>
    <t>固定伤害值</t>
  </si>
  <si>
    <t>是否必中</t>
  </si>
  <si>
    <t>消耗魔法</t>
  </si>
  <si>
    <t>增加魔法</t>
  </si>
  <si>
    <t>是否触发公共CD</t>
  </si>
  <si>
    <t>是否触发冷却技能CD(废弃)</t>
  </si>
  <si>
    <t>冷却CD</t>
  </si>
  <si>
    <t>伤害范围类型</t>
  </si>
  <si>
    <t>伤害范围</t>
  </si>
  <si>
    <t>技能目标类型</t>
  </si>
  <si>
    <t>释放区域类型</t>
  </si>
  <si>
    <t>释放区域目标点类型</t>
  </si>
  <si>
    <t>释放区域大小</t>
  </si>
  <si>
    <t>技能指示器增加范围</t>
  </si>
  <si>
    <t>施法前吟唱时间</t>
  </si>
  <si>
    <t>施法中吟唱时间</t>
  </si>
  <si>
    <t>技能僵直</t>
  </si>
  <si>
    <t>技能存在时间[毫秒]</t>
  </si>
  <si>
    <t>技能效果延迟时间</t>
  </si>
  <si>
    <t>技能移动速度</t>
  </si>
  <si>
    <t>初始化BUFFID</t>
  </si>
  <si>
    <t>释放BUFFID</t>
  </si>
  <si>
    <t>只释放一次buff</t>
  </si>
  <si>
    <t>施法动作名称</t>
  </si>
  <si>
    <t>技能音效</t>
  </si>
  <si>
    <t>技能特效ID</t>
  </si>
  <si>
    <t>每个脚本对应参数</t>
  </si>
  <si>
    <t>所有脚本通用参数</t>
  </si>
  <si>
    <t>是否显示</t>
  </si>
  <si>
    <t>技能描述</t>
  </si>
  <si>
    <t>施法时面对目标时间</t>
  </si>
  <si>
    <t>触发技能时附带技能</t>
  </si>
  <si>
    <t>技能触发时间</t>
  </si>
  <si>
    <t>施法时是否面对目标</t>
  </si>
  <si>
    <t>怪物技能延迟</t>
  </si>
  <si>
    <t>宠物互斥ID</t>
  </si>
  <si>
    <t>触发自身拥有技能</t>
  </si>
  <si>
    <t>释放技能是否打断移动</t>
  </si>
  <si>
    <t>技能持续伤害是否触发Buff</t>
  </si>
  <si>
    <t>技能持续伤害间隔时间</t>
  </si>
  <si>
    <t>技能持续伤害百分比</t>
  </si>
  <si>
    <t>技能持续伤害固定值</t>
  </si>
  <si>
    <t>是否显示技能指示器字段</t>
  </si>
  <si>
    <t>结束时技能</t>
  </si>
  <si>
    <t>触发技能</t>
  </si>
  <si>
    <t>技能伤害增加</t>
  </si>
  <si>
    <t>最大攻击数量</t>
  </si>
  <si>
    <t>震屏类型</t>
  </si>
  <si>
    <t>震屏开始时间</t>
  </si>
  <si>
    <t>震持续时间</t>
  </si>
  <si>
    <t>SkillName</t>
  </si>
  <si>
    <t>GameObjectName</t>
  </si>
  <si>
    <t>SkillLv</t>
  </si>
  <si>
    <t>SkillIcon</t>
  </si>
  <si>
    <t>NextSkillID</t>
  </si>
  <si>
    <t>WeaponType</t>
  </si>
  <si>
    <t>LearnRoseLv</t>
  </si>
  <si>
    <t>CostSPValue</t>
  </si>
  <si>
    <t>CostGoldValue</t>
  </si>
  <si>
    <t>OpenType</t>
  </si>
  <si>
    <t>EquipSkill</t>
  </si>
  <si>
    <t>SkillType</t>
  </si>
  <si>
    <t>PassiveSkillType</t>
  </si>
  <si>
    <t>PassiveSkillPro</t>
  </si>
  <si>
    <t>PassiveSkillTriggerOnce</t>
  </si>
  <si>
    <t>SkillTargetTypeNum</t>
  </si>
  <si>
    <t>ComboSkillID</t>
  </si>
  <si>
    <t>SkillActType</t>
  </si>
  <si>
    <t>DamgeType</t>
  </si>
  <si>
    <t>DamgeElementType</t>
  </si>
  <si>
    <t>ActDamge</t>
  </si>
  <si>
    <t>MonsterActDamge</t>
  </si>
  <si>
    <t>DamgeValue</t>
  </si>
  <si>
    <t>IfMustAct</t>
  </si>
  <si>
    <t>SkillUseMP</t>
  </si>
  <si>
    <t>SkillAddMP</t>
  </si>
  <si>
    <t>IfPublicSkillCD</t>
  </si>
  <si>
    <t>IfSkillCD</t>
  </si>
  <si>
    <t>SkillCD</t>
  </si>
  <si>
    <t>DamgeRangeType</t>
  </si>
  <si>
    <t>DamgeRange</t>
  </si>
  <si>
    <t>SkillTargetType</t>
  </si>
  <si>
    <t>SkillZhishiType</t>
  </si>
  <si>
    <t>SkillZhishiTargetType</t>
  </si>
  <si>
    <t>SkillRangeSize</t>
  </si>
  <si>
    <t>SkillRangeZhiShiSize</t>
  </si>
  <si>
    <t>SkillFrontSingTime</t>
  </si>
  <si>
    <t>SkillSingTime</t>
  </si>
  <si>
    <t>SkillRigidity</t>
  </si>
  <si>
    <t>SkillLiveTime</t>
  </si>
  <si>
    <t>SkillDelayTime</t>
  </si>
  <si>
    <t>SkillMoveSpeed</t>
  </si>
  <si>
    <t>InitBuffID</t>
  </si>
  <si>
    <t>BuffID</t>
  </si>
  <si>
    <t>OnlyOnceBuffID</t>
  </si>
  <si>
    <t>SkillAnimation</t>
  </si>
  <si>
    <t>SkillMusic</t>
  </si>
  <si>
    <t>SkillHitEffectID</t>
  </si>
  <si>
    <t>SkillEffectID</t>
  </si>
  <si>
    <t>GameObjectParameter</t>
  </si>
  <si>
    <t>ComObjParameter</t>
  </si>
  <si>
    <t>IsShow</t>
  </si>
  <si>
    <t>SkillDescribe</t>
  </si>
  <si>
    <t>IfLookAtTatgetTime</t>
  </si>
  <si>
    <t>AddSkillID</t>
  </si>
  <si>
    <t>PassiveSkillTriggerTime</t>
  </si>
  <si>
    <t>IfLookAtTarget</t>
  </si>
  <si>
    <t>MonsterDelayTime</t>
  </si>
  <si>
    <t>HuChiID</t>
  </si>
  <si>
    <t>TriggerSelfSkillID</t>
  </si>
  <si>
    <t>IfStopMove</t>
  </si>
  <si>
    <t>DamgeChiXuTrigerBuff</t>
  </si>
  <si>
    <t>DamgeChiXuInterval</t>
  </si>
  <si>
    <t>DamgeChiXuPro</t>
  </si>
  <si>
    <t>DamgeChiXuValue</t>
  </si>
  <si>
    <t>IfShowSkillZhiShi</t>
  </si>
  <si>
    <t>EndSkillId</t>
  </si>
  <si>
    <t>BuffToSkill</t>
  </si>
  <si>
    <t>SkillDamgeAddValue</t>
  </si>
  <si>
    <t>MaxAttackNumber</t>
  </si>
  <si>
    <t>ShakeCameraType</t>
  </si>
  <si>
    <t>ShakeStart</t>
  </si>
  <si>
    <t>ShakeDuration</t>
  </si>
  <si>
    <t>int</t>
  </si>
  <si>
    <t>string</t>
  </si>
  <si>
    <t>int[]</t>
  </si>
  <si>
    <t>double[]</t>
  </si>
  <si>
    <t>double</t>
  </si>
  <si>
    <t>(测试)魔焰地裂</t>
  </si>
  <si>
    <t>Skill_Action_Common</t>
  </si>
  <si>
    <t>1</t>
  </si>
  <si>
    <t>3,6</t>
  </si>
  <si>
    <t>0</t>
  </si>
  <si>
    <t>2</t>
  </si>
  <si>
    <t>3</t>
  </si>
  <si>
    <t>(测试)伏击</t>
  </si>
  <si>
    <t>Skill_Ambushing</t>
  </si>
  <si>
    <t>快速移动到目标的背后,对目标立即造成200%伤害,并眩晕1秒。</t>
  </si>
  <si>
    <t>(测试)奥义投掷</t>
  </si>
  <si>
    <t>Skill_Boomerang</t>
  </si>
  <si>
    <t>(测试)闪电链</t>
  </si>
  <si>
    <t>Skill_ChainLightning</t>
  </si>
  <si>
    <t>(测试)闪电链2(群体闪电链)</t>
  </si>
  <si>
    <t>Skill_ChainLightning_2</t>
  </si>
  <si>
    <t>1;0.1@6;0.3</t>
  </si>
  <si>
    <t>每次攻击有20%概率对目标进行释放闪电链, 对最多5个单位造成150%伤害，受到闪电链攻击的目标将产生静电效果,收到伤害额外提升10%,持续5秒</t>
  </si>
  <si>
    <t>(测试)闪电链3(传递闪电链)</t>
  </si>
  <si>
    <t>Skill_ChainLightning_3</t>
  </si>
  <si>
    <t>传递点击</t>
  </si>
  <si>
    <t>(测试)森林召唤</t>
  </si>
  <si>
    <t>Skill_Com_Summon_1</t>
  </si>
  <si>
    <t>10001</t>
  </si>
  <si>
    <t>Skill_1</t>
  </si>
  <si>
    <t>310201;0;4;4</t>
  </si>
  <si>
    <t>每20秒召唤1个帮手协助攻击。</t>
  </si>
  <si>
    <t>(测试)爆炸陷阱</t>
  </si>
  <si>
    <t>Skill_Com_Summon_2</t>
  </si>
  <si>
    <t>900002;0;1;1;1,1,1,1,1,1,1,1,1;0,0,0,0,0</t>
  </si>
  <si>
    <t>对目标区域释放陷阱,敌方玩家碰到后触发，造成250%伤害,并眩晕2秒。</t>
  </si>
  <si>
    <t>(测试)巨岩震击</t>
  </si>
  <si>
    <t>Skill_ComSelfRang_Damge_1</t>
  </si>
  <si>
    <t>(测试)法师普通攻击</t>
  </si>
  <si>
    <t>Skill_ComTargetMove_Damge_1</t>
  </si>
  <si>
    <t>Attack_1</t>
  </si>
  <si>
    <t>立即给自己施加一个护盾持续30秒,护盾可以抵消自身受到的攻击伤害,护盾值为30%自身最大生命+300点固定护盾值,护盾存在时受到所有伤害降低且免疫全部有害状态,当护盾值为0时护盾消失,免疫效果也随之消失。</t>
  </si>
  <si>
    <t>(测试)破冰飞弹</t>
  </si>
  <si>
    <t>Skill_ComTargetMove_RangDamge_1</t>
  </si>
  <si>
    <t>Skill_8</t>
  </si>
  <si>
    <t>(测试)能量之球</t>
  </si>
  <si>
    <t>Skill_ComTargetMove_RangDamge_2</t>
  </si>
  <si>
    <t>触发一个围绕自身的法球,对碰撞的单位造成75%伤害,并使其移动速度降低20%,持续5秒。</t>
  </si>
  <si>
    <t>(测试)寒之冰球(测试)</t>
  </si>
  <si>
    <t>Skill_ComTargetMove_RangDamge_5</t>
  </si>
  <si>
    <t>0;1</t>
  </si>
  <si>
    <t>向前方投掷一个冰魔球,魔球会向前方推进且对附近区域内的目标造成200%攻击伤害+750点固定伤害,且给目标附加一层魔法印记,并使移动速度降低50%,持续5秒</t>
  </si>
  <si>
    <t>(测试)烈之火球(测试)</t>
  </si>
  <si>
    <t>Skill_ComTargetMove_RangDamge_6</t>
  </si>
  <si>
    <t>1;1;1</t>
  </si>
  <si>
    <t>向前方投掷一个火魔球,魔球会向前方推进且遇到敌方目标会自动停止移动,对附近区域内的目标造成200%攻击伤害+750点固定伤害,且给目标附加一层魔法印记,并触发灼烧效果</t>
  </si>
  <si>
    <t>(测试)燃烧之种第二阶段</t>
  </si>
  <si>
    <t>Skill_ComTargetMove_RangDamge_7</t>
  </si>
  <si>
    <t>立即对目标释放一个燃烧种子造成120%伤害,并持续燃烧对附近单位每秒造成70%伤害,持续5秒。</t>
  </si>
  <si>
    <t>(测试)隐身剑斩</t>
  </si>
  <si>
    <t>Skill_DurationDamage</t>
  </si>
  <si>
    <t>Skill_9</t>
  </si>
  <si>
    <t>(测试)魔导:量子炸弹</t>
  </si>
  <si>
    <t>Skill_Follow_Damge_1</t>
  </si>
  <si>
    <t>在目标区域释放一个光柱，光柱会跟随目标移动，每秒造成200%伤害,持续8秒</t>
  </si>
  <si>
    <t>(测试)心灵光环(临时废弃)</t>
  </si>
  <si>
    <t>Skill_Halo_1</t>
  </si>
  <si>
    <t>附近敌方单位受到伤害额外提升15%</t>
  </si>
  <si>
    <t>(测试)伤害光环</t>
  </si>
  <si>
    <t>Skill_Halo_2</t>
  </si>
  <si>
    <t>小队内造成伤害提升3%。</t>
  </si>
  <si>
    <t>(测试)别跑</t>
  </si>
  <si>
    <t>Skill_Hook_1</t>
  </si>
  <si>
    <t>将一个目标强制拉回到你的身边,并使其移动速度降低50%,持续6秒</t>
  </si>
  <si>
    <t>(测试)一个都别跑</t>
  </si>
  <si>
    <t>Skill_Hook_2</t>
  </si>
  <si>
    <t>(测试)怪物连击(测试)</t>
  </si>
  <si>
    <t>Skill_Monster_Combo</t>
  </si>
  <si>
    <t>4,3</t>
  </si>
  <si>
    <t>Act_1</t>
  </si>
  <si>
    <t>1;0@2;0</t>
  </si>
  <si>
    <t>(测试)火舌守卫</t>
  </si>
  <si>
    <t>Skill_MonsterMatrix</t>
  </si>
  <si>
    <t>Skill_11</t>
  </si>
  <si>
    <t>90000101;0;3,3,5;0.7,0.7;0.5,0.6,0.5,0.5,0.5,0,0,0,0;0,0,0,0,0</t>
  </si>
  <si>
    <t>在目标区域召唤5只火舌守卫协助自己战斗,每只火舌对于魔法伤害免疫并继承角色60%攻击属性,火舌守卫无法移动但拥有较高的攻击。</t>
  </si>
  <si>
    <t>(测试)兽骑冲锋</t>
  </si>
  <si>
    <t>Skill_Other_ChongJi_1</t>
  </si>
  <si>
    <t>2,2</t>
  </si>
  <si>
    <t>(测试)旋舞之舞</t>
  </si>
  <si>
    <t>Skill_Other_XuanFengZhan_1</t>
  </si>
  <si>
    <t>Skill_6</t>
  </si>
  <si>
    <t>(测试)冰封冲击</t>
  </si>
  <si>
    <t>Skill_Pull_Monster_1</t>
  </si>
  <si>
    <t>(测试)元素引力波</t>
  </si>
  <si>
    <t>Skill_Pull_Monster_2</t>
  </si>
  <si>
    <t>Skill_4</t>
  </si>
  <si>
    <t>Skill_ShanXian_1</t>
  </si>
  <si>
    <t>Skill_5</t>
  </si>
  <si>
    <t>(测试)顺风击</t>
  </si>
  <si>
    <t>Skill_ShanXian_2</t>
  </si>
  <si>
    <t>生命值低于80%后每隔12秒即出现在玩家身后对周围造成200%攻击伤害和60%减速效果，并恢复自身2%最大生命值</t>
  </si>
  <si>
    <t>(测试)魔法光柱</t>
  </si>
  <si>
    <t>Skill_XuanZhuan_Attack_2</t>
  </si>
  <si>
    <t>2,8</t>
  </si>
  <si>
    <t>对目标区域持续性释放,每秒造成125%伤害,持续5秒。</t>
  </si>
  <si>
    <t>(测试)旋转攻击</t>
  </si>
  <si>
    <t>Skill_XuanZhuan_Attack</t>
  </si>
  <si>
    <t>Skill_2</t>
  </si>
  <si>
    <t>90;2</t>
  </si>
  <si>
    <t>进入战斗后,对目标区域持续性的释放技能造成300%伤害,并进行旋转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</si>
</sst>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indexed="8"/>
      <name val="宋体"/>
      <charset val="134"/>
    </font>
    <font>
      <sz val="9"/>
      <color theme="1"/>
      <name val="微软雅黑"/>
      <charset val="134"/>
    </font>
    <font>
      <b/>
      <sz val="9"/>
      <color theme="1"/>
      <name val="微软雅黑"/>
      <charset val="134"/>
    </font>
    <font>
      <sz val="10"/>
      <color rgb="FFFF0000"/>
      <name val="宋体"/>
      <charset val="134"/>
    </font>
    <font>
      <sz val="10"/>
      <color indexed="12"/>
      <name val="宋体"/>
      <charset val="134"/>
    </font>
    <font>
      <sz val="10"/>
      <color rgb="FFFFFF00"/>
      <name val="宋体"/>
      <charset val="134"/>
    </font>
    <font>
      <sz val="10"/>
      <color theme="0"/>
      <name val="宋体"/>
      <charset val="134"/>
    </font>
    <font>
      <sz val="10"/>
      <color theme="1" tint="0.499984740745262"/>
      <name val="宋体"/>
      <charset val="134"/>
    </font>
    <font>
      <sz val="10"/>
      <color indexed="8"/>
      <name val="宋体"/>
      <charset val="134"/>
    </font>
    <font>
      <sz val="10"/>
      <color theme="1"/>
      <name val="Helvetica Neue"/>
      <charset val="134"/>
      <scheme val="minor"/>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1"/>
      <color theme="0"/>
      <name val="Helvetica Neue"/>
      <charset val="134"/>
      <scheme val="minor"/>
    </font>
    <font>
      <b/>
      <sz val="18"/>
      <color theme="3"/>
      <name val="Helvetica Neue"/>
      <charset val="134"/>
      <scheme val="major"/>
    </font>
    <font>
      <sz val="11"/>
      <color rgb="FF9C0006"/>
      <name val="Helvetica Neue"/>
      <charset val="134"/>
      <scheme val="minor"/>
    </font>
    <font>
      <sz val="11"/>
      <name val="宋体"/>
      <charset val="134"/>
    </font>
    <font>
      <sz val="11"/>
      <color theme="1"/>
      <name val="Tahoma"/>
      <charset val="134"/>
    </font>
    <font>
      <u/>
      <sz val="11"/>
      <color theme="10"/>
      <name val="Helvetica Neue"/>
      <charset val="134"/>
      <scheme val="minor"/>
    </font>
    <font>
      <sz val="11"/>
      <color rgb="FF006100"/>
      <name val="Helvetica Neue"/>
      <charset val="134"/>
      <scheme val="minor"/>
    </font>
    <font>
      <i/>
      <sz val="11"/>
      <color rgb="FF7F7F7F"/>
      <name val="Helvetica Neue"/>
      <charset val="134"/>
      <scheme val="minor"/>
    </font>
    <font>
      <sz val="11"/>
      <color rgb="FFFF0000"/>
      <name val="Helvetica Neue"/>
      <charset val="134"/>
      <scheme val="minor"/>
    </font>
    <font>
      <sz val="11"/>
      <color rgb="FF9C6500"/>
      <name val="Helvetica Neue"/>
      <charset val="134"/>
      <scheme val="minor"/>
    </font>
    <font>
      <sz val="11"/>
      <color indexed="8"/>
      <name val="Helvetica Neue"/>
      <charset val="134"/>
      <scheme val="minor"/>
    </font>
    <font>
      <b/>
      <sz val="9"/>
      <name val="宋体"/>
      <charset val="134"/>
    </font>
    <font>
      <sz val="9"/>
      <name val="宋体"/>
      <charset val="134"/>
    </font>
    <font>
      <sz val="9"/>
      <name val="Tahoma"/>
      <charset val="134"/>
    </font>
    <font>
      <sz val="11"/>
      <color indexed="8"/>
      <name val="Helvetica Neue"/>
      <charset val="134"/>
    </font>
    <font>
      <b/>
      <sz val="9"/>
      <name val="Tahoma"/>
      <charset val="134"/>
    </font>
    <font>
      <sz val="11"/>
      <color indexed="8"/>
      <name val="宋体"/>
      <charset val="134"/>
    </font>
  </fonts>
  <fills count="56">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indexed="13"/>
        <bgColor indexed="64"/>
      </patternFill>
    </fill>
    <fill>
      <patternFill patternType="solid">
        <fgColor indexed="16"/>
        <bgColor indexed="64"/>
      </patternFill>
    </fill>
    <fill>
      <patternFill patternType="solid">
        <fgColor theme="0" tint="-0.1491134372997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40800195319"/>
        <bgColor indexed="64"/>
      </patternFill>
    </fill>
    <fill>
      <patternFill patternType="solid">
        <fgColor theme="5" tint="0.799340800195319"/>
        <bgColor indexed="64"/>
      </patternFill>
    </fill>
    <fill>
      <patternFill patternType="solid">
        <fgColor theme="6" tint="0.799340800195319"/>
        <bgColor indexed="64"/>
      </patternFill>
    </fill>
    <fill>
      <patternFill patternType="solid">
        <fgColor theme="7" tint="0.799340800195319"/>
        <bgColor indexed="64"/>
      </patternFill>
    </fill>
    <fill>
      <patternFill patternType="solid">
        <fgColor theme="8" tint="0.799340800195319"/>
        <bgColor indexed="64"/>
      </patternFill>
    </fill>
    <fill>
      <patternFill patternType="solid">
        <fgColor theme="9" tint="0.799340800195319"/>
        <bgColor indexed="64"/>
      </patternFill>
    </fill>
    <fill>
      <patternFill patternType="solid">
        <fgColor theme="4" tint="0.398052919095431"/>
        <bgColor indexed="64"/>
      </patternFill>
    </fill>
    <fill>
      <patternFill patternType="solid">
        <fgColor theme="4" tint="0.398083437604907"/>
        <bgColor indexed="64"/>
      </patternFill>
    </fill>
    <fill>
      <patternFill patternType="solid">
        <fgColor theme="5" tint="0.398052919095431"/>
        <bgColor indexed="64"/>
      </patternFill>
    </fill>
    <fill>
      <patternFill patternType="solid">
        <fgColor theme="5" tint="0.398083437604907"/>
        <bgColor indexed="64"/>
      </patternFill>
    </fill>
    <fill>
      <patternFill patternType="solid">
        <fgColor theme="6" tint="0.398052919095431"/>
        <bgColor indexed="64"/>
      </patternFill>
    </fill>
    <fill>
      <patternFill patternType="solid">
        <fgColor theme="6" tint="0.398083437604907"/>
        <bgColor indexed="64"/>
      </patternFill>
    </fill>
    <fill>
      <patternFill patternType="solid">
        <fgColor theme="7" tint="0.398052919095431"/>
        <bgColor indexed="64"/>
      </patternFill>
    </fill>
    <fill>
      <patternFill patternType="solid">
        <fgColor theme="7" tint="0.398083437604907"/>
        <bgColor indexed="64"/>
      </patternFill>
    </fill>
    <fill>
      <patternFill patternType="solid">
        <fgColor theme="8" tint="0.398052919095431"/>
        <bgColor indexed="64"/>
      </patternFill>
    </fill>
    <fill>
      <patternFill patternType="solid">
        <fgColor theme="8" tint="0.398083437604907"/>
        <bgColor indexed="64"/>
      </patternFill>
    </fill>
    <fill>
      <patternFill patternType="solid">
        <fgColor theme="9" tint="0.398052919095431"/>
        <bgColor indexed="64"/>
      </patternFill>
    </fill>
    <fill>
      <patternFill patternType="solid">
        <fgColor theme="9" tint="0.398083437604907"/>
        <bgColor indexed="64"/>
      </patternFill>
    </fill>
  </fills>
  <borders count="14">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hair">
        <color indexed="15"/>
      </bottom>
      <diagonal/>
    </border>
    <border>
      <left style="thin">
        <color indexed="12"/>
      </left>
      <right style="thin">
        <color indexed="12"/>
      </right>
      <top/>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2">
    <xf numFmtId="0" fontId="0" fillId="0" borderId="0" applyNumberFormat="0" applyFill="0" applyBorder="0" applyProtection="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8" borderId="9" applyNumberFormat="0" applyAlignment="0" applyProtection="0">
      <alignment vertical="center"/>
    </xf>
    <xf numFmtId="0" fontId="20" fillId="9" borderId="10" applyNumberFormat="0" applyAlignment="0" applyProtection="0">
      <alignment vertical="center"/>
    </xf>
    <xf numFmtId="0" fontId="21" fillId="9" borderId="9" applyNumberFormat="0" applyAlignment="0" applyProtection="0">
      <alignment vertical="center"/>
    </xf>
    <xf numFmtId="0" fontId="22" fillId="10"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10" fillId="38" borderId="0" applyNumberFormat="0" applyBorder="0" applyAlignment="0" applyProtection="0">
      <alignment vertical="center"/>
    </xf>
    <xf numFmtId="0" fontId="10" fillId="39" borderId="0" applyNumberFormat="0" applyBorder="0" applyAlignment="0" applyProtection="0">
      <alignment vertical="center"/>
    </xf>
    <xf numFmtId="0" fontId="10" fillId="40" borderId="0" applyNumberFormat="0" applyBorder="0" applyAlignment="0" applyProtection="0">
      <alignment vertical="center"/>
    </xf>
    <xf numFmtId="0" fontId="10" fillId="41" borderId="0" applyNumberFormat="0" applyBorder="0" applyAlignment="0" applyProtection="0">
      <alignment vertical="center"/>
    </xf>
    <xf numFmtId="0" fontId="10" fillId="42" borderId="0" applyNumberFormat="0" applyBorder="0" applyAlignment="0" applyProtection="0">
      <alignment vertical="center"/>
    </xf>
    <xf numFmtId="0" fontId="10" fillId="43" borderId="0" applyNumberFormat="0" applyBorder="0" applyAlignment="0" applyProtection="0">
      <alignment vertical="center"/>
    </xf>
    <xf numFmtId="0" fontId="10" fillId="16" borderId="0" applyNumberFormat="0" applyBorder="0" applyAlignment="0" applyProtection="0">
      <alignment vertical="center"/>
    </xf>
    <xf numFmtId="0" fontId="10" fillId="20" borderId="0" applyNumberFormat="0" applyBorder="0" applyAlignment="0" applyProtection="0">
      <alignment vertical="center"/>
    </xf>
    <xf numFmtId="0" fontId="10" fillId="24"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36"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0" fillId="47" borderId="0" applyNumberFormat="0" applyBorder="0" applyAlignment="0" applyProtection="0">
      <alignment vertical="center"/>
    </xf>
    <xf numFmtId="0" fontId="30" fillId="48" borderId="0" applyNumberFormat="0" applyBorder="0" applyAlignment="0" applyProtection="0">
      <alignment vertical="center"/>
    </xf>
    <xf numFmtId="0" fontId="30" fillId="49"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52" borderId="0" applyNumberFormat="0" applyBorder="0" applyAlignment="0" applyProtection="0">
      <alignment vertical="center"/>
    </xf>
    <xf numFmtId="0" fontId="30" fillId="53" borderId="0" applyNumberFormat="0" applyBorder="0" applyAlignment="0" applyProtection="0">
      <alignment vertical="center"/>
    </xf>
    <xf numFmtId="0" fontId="30" fillId="54" borderId="0" applyNumberFormat="0" applyBorder="0" applyAlignment="0" applyProtection="0">
      <alignment vertical="center"/>
    </xf>
    <xf numFmtId="0" fontId="30" fillId="55" borderId="0" applyNumberFormat="0" applyBorder="0" applyAlignment="0" applyProtection="0">
      <alignment vertical="center"/>
    </xf>
    <xf numFmtId="0" fontId="31" fillId="0" borderId="0" applyNumberFormat="0" applyFill="0" applyBorder="0" applyAlignment="0" applyProtection="0">
      <alignment vertical="center"/>
    </xf>
    <xf numFmtId="0" fontId="32" fillId="12" borderId="0" applyNumberFormat="0" applyBorder="0" applyAlignment="0" applyProtection="0">
      <alignment vertical="center"/>
    </xf>
    <xf numFmtId="0" fontId="0" fillId="0" borderId="0" applyNumberFormat="0" applyFill="0" applyBorder="0" applyProtection="0"/>
    <xf numFmtId="0" fontId="33" fillId="0" borderId="0">
      <alignment vertical="center"/>
    </xf>
    <xf numFmtId="0" fontId="10" fillId="0" borderId="0">
      <alignment vertical="center"/>
    </xf>
    <xf numFmtId="0" fontId="10" fillId="0" borderId="0"/>
    <xf numFmtId="0" fontId="34" fillId="0" borderId="0"/>
    <xf numFmtId="0" fontId="35" fillId="0" borderId="0" applyNumberFormat="0" applyFill="0" applyBorder="0" applyAlignment="0" applyProtection="0">
      <alignment vertical="center"/>
    </xf>
    <xf numFmtId="0" fontId="36" fillId="11" borderId="0" applyNumberFormat="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30" borderId="0" applyNumberFormat="0" applyBorder="0" applyAlignment="0" applyProtection="0">
      <alignment vertical="center"/>
    </xf>
    <xf numFmtId="0" fontId="30" fillId="34" borderId="0" applyNumberFormat="0" applyBorder="0" applyAlignment="0" applyProtection="0">
      <alignment vertical="center"/>
    </xf>
    <xf numFmtId="0" fontId="39" fillId="13" borderId="0" applyNumberFormat="0" applyBorder="0" applyAlignment="0" applyProtection="0">
      <alignment vertical="center"/>
    </xf>
    <xf numFmtId="0" fontId="40" fillId="7" borderId="6" applyNumberFormat="0" applyFont="0" applyAlignment="0" applyProtection="0">
      <alignment vertical="center"/>
    </xf>
  </cellStyleXfs>
  <cellXfs count="16">
    <xf numFmtId="0" fontId="0" fillId="0" borderId="0" xfId="0"/>
    <xf numFmtId="0" fontId="0" fillId="2" borderId="0" xfId="0" applyFill="1"/>
    <xf numFmtId="0" fontId="1" fillId="0" borderId="0" xfId="0" applyFont="1" applyAlignment="1">
      <alignment horizontal="center" vertical="center"/>
    </xf>
    <xf numFmtId="0" fontId="0" fillId="0" borderId="0" xfId="0" applyNumberFormat="1"/>
    <xf numFmtId="0" fontId="0" fillId="0" borderId="0" xfId="0" applyAlignment="1">
      <alignment horizontal="center" vertical="center"/>
    </xf>
    <xf numFmtId="0" fontId="2" fillId="3" borderId="0" xfId="0" applyFont="1" applyFill="1"/>
    <xf numFmtId="49" fontId="3" fillId="4" borderId="1" xfId="0" applyNumberFormat="1" applyFont="1" applyFill="1" applyBorder="1" applyAlignment="1">
      <alignment horizontal="center" vertical="center"/>
    </xf>
    <xf numFmtId="49" fontId="4" fillId="4" borderId="1" xfId="0" applyNumberFormat="1" applyFont="1" applyFill="1" applyBorder="1" applyAlignment="1">
      <alignment horizontal="center" vertical="center"/>
    </xf>
    <xf numFmtId="49" fontId="3" fillId="4" borderId="2"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49" fontId="7" fillId="4" borderId="1"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xf>
    <xf numFmtId="49" fontId="4" fillId="4" borderId="2" xfId="0" applyNumberFormat="1" applyFont="1" applyFill="1" applyBorder="1" applyAlignment="1">
      <alignment horizontal="center" vertical="center"/>
    </xf>
    <xf numFmtId="49" fontId="8" fillId="5" borderId="4" xfId="0" applyNumberFormat="1" applyFont="1" applyFill="1" applyBorder="1" applyAlignment="1">
      <alignment horizontal="center" vertical="center"/>
    </xf>
    <xf numFmtId="0" fontId="9" fillId="6" borderId="5" xfId="0" applyNumberFormat="1" applyFont="1" applyFill="1" applyBorder="1" applyAlignment="1" applyProtection="1">
      <alignment horizontal="center" vertical="center"/>
    </xf>
    <xf numFmtId="49" fontId="8" fillId="5" borderId="4" xfId="0" applyNumberFormat="1" applyFont="1" applyFill="1" applyBorder="1" applyAlignment="1" quotePrefix="1">
      <alignment horizontal="center" vertical="center"/>
    </xf>
  </cellXfs>
  <cellStyles count="9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强调文字颜色 1 10" xfId="55"/>
    <cellStyle name="40% - 强调文字颜色 2 10" xfId="56"/>
    <cellStyle name="40% - 强调文字颜色 3 10" xfId="57"/>
    <cellStyle name="40% - 强调文字颜色 4 10" xfId="58"/>
    <cellStyle name="40% - 强调文字颜色 5 10" xfId="59"/>
    <cellStyle name="40% - 强调文字颜色 6 10" xfId="60"/>
    <cellStyle name="60% - 强调文字颜色 1 2" xfId="61"/>
    <cellStyle name="60% - 强调文字颜色 1 2 3" xfId="62"/>
    <cellStyle name="60% - 强调文字颜色 2 2" xfId="63"/>
    <cellStyle name="60% - 强调文字颜色 2 2 3" xfId="64"/>
    <cellStyle name="60% - 强调文字颜色 3 2" xfId="65"/>
    <cellStyle name="60% - 强调文字颜色 3 2 3" xfId="66"/>
    <cellStyle name="60% - 强调文字颜色 4 2" xfId="67"/>
    <cellStyle name="60% - 强调文字颜色 4 2 3" xfId="68"/>
    <cellStyle name="60% - 强调文字颜色 5 2" xfId="69"/>
    <cellStyle name="60% - 强调文字颜色 5 2 3" xfId="70"/>
    <cellStyle name="60% - 强调文字颜色 6 2" xfId="71"/>
    <cellStyle name="60% - 强调文字颜色 6 2 3" xfId="72"/>
    <cellStyle name="标题 5" xfId="73"/>
    <cellStyle name="差 2" xfId="74"/>
    <cellStyle name="常规 10" xfId="75"/>
    <cellStyle name="常规 10 2" xfId="76"/>
    <cellStyle name="常规 11 2" xfId="77"/>
    <cellStyle name="常规 2" xfId="78"/>
    <cellStyle name="常规 3" xfId="79"/>
    <cellStyle name="超链接 2" xfId="80"/>
    <cellStyle name="好 2" xfId="81"/>
    <cellStyle name="解释性文本 2" xfId="82"/>
    <cellStyle name="警告文本 2" xfId="83"/>
    <cellStyle name="强调文字颜色 1 2" xfId="84"/>
    <cellStyle name="强调文字颜色 2 2" xfId="85"/>
    <cellStyle name="强调文字颜色 3 2" xfId="86"/>
    <cellStyle name="强调文字颜色 4 2" xfId="87"/>
    <cellStyle name="强调文字颜色 5 2" xfId="88"/>
    <cellStyle name="强调文字颜色 6 2" xfId="89"/>
    <cellStyle name="适中 2" xfId="90"/>
    <cellStyle name="注释 2 2 2 2 3" xfId="91"/>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D86C4B58-4015-48D4-9331-EFBE0D13E610}">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3F3F3F"/>
      <rgbColor rgb="00AAAAAA"/>
      <rgbColor rgb="007F7F7F"/>
      <rgbColor rgb="00D8D8D8"/>
      <rgbColor rgb="0095B3D7"/>
      <rgbColor rgb="00FF0000"/>
      <rgbColor rgb="00FFFF00"/>
      <rgbColor rgb="00D6E3B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9"/>
  <sheetViews>
    <sheetView showGridLines="0" tabSelected="1" workbookViewId="0">
      <pane xSplit="5" ySplit="5" topLeftCell="F6" activePane="bottomRight" state="frozen"/>
      <selection/>
      <selection pane="topRight"/>
      <selection pane="bottomLeft"/>
      <selection pane="bottomRight" activeCell="B38" sqref="B38"/>
    </sheetView>
  </sheetViews>
  <sheetFormatPr defaultColWidth="8.875" defaultRowHeight="13.5" customHeight="1"/>
  <cols>
    <col min="1" max="1" width="13.625" style="1" customWidth="1"/>
    <col min="2" max="2" width="16.25" customWidth="1"/>
    <col min="3" max="3" width="9.375" customWidth="1"/>
    <col min="4" max="4" width="23.25" customWidth="1"/>
    <col min="5" max="5" width="39.25" customWidth="1"/>
    <col min="6" max="6" width="10.875" customWidth="1"/>
    <col min="7" max="7" width="10.5" customWidth="1"/>
    <col min="8" max="9" width="11.25" customWidth="1"/>
    <col min="10" max="10" width="11.375" customWidth="1"/>
    <col min="11" max="11" width="11.5" customWidth="1"/>
    <col min="12" max="12" width="13.125" customWidth="1"/>
    <col min="13" max="13" width="18.625" customWidth="1"/>
    <col min="14" max="14" width="16.125" customWidth="1"/>
    <col min="15" max="15" width="9.375" customWidth="1"/>
    <col min="16" max="16" width="16.125" customWidth="1"/>
    <col min="17" max="17" width="15.125" customWidth="1"/>
    <col min="18" max="18" width="22.875" customWidth="1"/>
    <col min="19" max="19" width="18" customWidth="1"/>
    <col min="20" max="20" width="10.875" customWidth="1"/>
    <col min="21" max="21" width="12.125" customWidth="1"/>
    <col min="22" max="22" width="13.125" customWidth="1"/>
    <col min="23" max="23" width="14.75" customWidth="1"/>
    <col min="24" max="24" width="17.25" customWidth="1"/>
    <col min="25" max="26" width="17" customWidth="1"/>
    <col min="27" max="27" width="15.875" customWidth="1"/>
    <col min="28" max="28" width="18.5" customWidth="1"/>
    <col min="29" max="29" width="15.75" customWidth="1"/>
    <col min="30" max="30" width="18.75" customWidth="1"/>
    <col min="31" max="31" width="21.75" customWidth="1"/>
    <col min="32" max="32" width="11.75" customWidth="1"/>
    <col min="33" max="33" width="13.75" customWidth="1"/>
    <col min="34" max="34" width="14.375" customWidth="1"/>
    <col min="35" max="35" width="13.125" customWidth="1"/>
    <col min="36" max="36" width="15.5" customWidth="1"/>
    <col min="37" max="37" width="21.25" customWidth="1"/>
    <col min="38" max="38" width="14.375" customWidth="1"/>
    <col min="39" max="39" width="15.125" customWidth="1"/>
    <col min="40" max="40" width="15.5" customWidth="1"/>
    <col min="41" max="41" width="12.875" customWidth="1"/>
    <col min="42" max="42" width="11.125" customWidth="1"/>
    <col min="43" max="43" width="15.25" customWidth="1"/>
    <col min="44" max="44" width="14.625" customWidth="1"/>
    <col min="45" max="45" width="16.75" customWidth="1"/>
    <col min="46" max="46" width="24.25" customWidth="1"/>
    <col min="47" max="47" width="25.75" customWidth="1"/>
    <col min="48" max="48" width="20.25" customWidth="1"/>
    <col min="49" max="49" width="16.375" customWidth="1"/>
    <col min="50" max="50" width="13.75" customWidth="1"/>
    <col min="51" max="52" width="16.375" customWidth="1"/>
    <col min="53" max="53" width="39" customWidth="1"/>
    <col min="54" max="55" width="18.125" customWidth="1"/>
    <col min="56" max="56" width="255.625" customWidth="1"/>
    <col min="57" max="57" width="16.375" customWidth="1"/>
    <col min="58" max="58" width="20.5" customWidth="1"/>
    <col min="59" max="59" width="20.75" customWidth="1"/>
    <col min="60" max="61" width="16.375" customWidth="1"/>
    <col min="62" max="62" width="21.625" customWidth="1"/>
    <col min="63" max="63" width="13.875" customWidth="1"/>
    <col min="64" max="66" width="20.625" customWidth="1"/>
    <col min="67" max="68" width="16.75" customWidth="1"/>
    <col min="69" max="69" width="20.375" customWidth="1"/>
    <col min="70" max="73" width="18.25" customWidth="1"/>
    <col min="74" max="74" width="20.625" customWidth="1"/>
    <col min="75" max="76" width="17.5" customWidth="1"/>
  </cols>
  <sheetData>
    <row r="1" ht="14.25" spans="1:78">
      <c r="U1" s="2"/>
      <c r="AJ1" s="2"/>
      <c r="AK1" s="2"/>
      <c r="BG1" s="2"/>
    </row>
    <row r="2" customHeight="1" spans="1:78">
      <c r="D2" s="3"/>
      <c r="AK2" s="4"/>
    </row>
    <row r="3" ht="14.25" spans="1:78">
      <c r="B3" s="1"/>
      <c r="C3" s="5" t="s">
        <v>0</v>
      </c>
      <c r="D3" s="6" t="s">
        <v>1</v>
      </c>
      <c r="E3" s="7" t="s">
        <v>2</v>
      </c>
      <c r="F3" s="6" t="s">
        <v>3</v>
      </c>
      <c r="G3" s="6" t="s">
        <v>4</v>
      </c>
      <c r="H3" s="6" t="s">
        <v>5</v>
      </c>
      <c r="I3" s="6" t="s">
        <v>6</v>
      </c>
      <c r="J3" s="6" t="s">
        <v>7</v>
      </c>
      <c r="K3" s="6" t="s">
        <v>8</v>
      </c>
      <c r="L3" s="6" t="s">
        <v>9</v>
      </c>
      <c r="M3" s="8" t="s">
        <v>10</v>
      </c>
      <c r="N3" s="6" t="s">
        <v>11</v>
      </c>
      <c r="O3" s="6" t="s">
        <v>12</v>
      </c>
      <c r="P3" s="9" t="s">
        <v>13</v>
      </c>
      <c r="Q3" s="9" t="s">
        <v>14</v>
      </c>
      <c r="R3" s="9" t="s">
        <v>15</v>
      </c>
      <c r="S3" s="9" t="s">
        <v>16</v>
      </c>
      <c r="T3" s="7" t="s">
        <v>17</v>
      </c>
      <c r="U3" s="6" t="s">
        <v>18</v>
      </c>
      <c r="V3" s="6" t="s">
        <v>19</v>
      </c>
      <c r="W3" s="6" t="s">
        <v>20</v>
      </c>
      <c r="X3" s="6" t="s">
        <v>21</v>
      </c>
      <c r="Y3" s="6" t="s">
        <v>22</v>
      </c>
      <c r="Z3" s="6" t="s">
        <v>23</v>
      </c>
      <c r="AA3" s="6" t="s">
        <v>24</v>
      </c>
      <c r="AB3" s="6" t="s">
        <v>25</v>
      </c>
      <c r="AC3" s="6" t="s">
        <v>26</v>
      </c>
      <c r="AD3" s="9" t="s">
        <v>27</v>
      </c>
      <c r="AE3" s="9" t="s">
        <v>28</v>
      </c>
      <c r="AF3" s="9" t="s">
        <v>29</v>
      </c>
      <c r="AG3" s="6" t="s">
        <v>30</v>
      </c>
      <c r="AH3" s="6" t="s">
        <v>31</v>
      </c>
      <c r="AI3" s="6" t="s">
        <v>32</v>
      </c>
      <c r="AJ3" s="6" t="s">
        <v>33</v>
      </c>
      <c r="AK3" s="10" t="s">
        <v>34</v>
      </c>
      <c r="AL3" s="6" t="s">
        <v>35</v>
      </c>
      <c r="AM3" s="6" t="s">
        <v>36</v>
      </c>
      <c r="AN3" s="9" t="s">
        <v>37</v>
      </c>
      <c r="AO3" s="9" t="s">
        <v>38</v>
      </c>
      <c r="AP3" s="9" t="s">
        <v>39</v>
      </c>
      <c r="AQ3" s="9" t="s">
        <v>40</v>
      </c>
      <c r="AR3" s="9" t="s">
        <v>41</v>
      </c>
      <c r="AS3" s="9" t="s">
        <v>42</v>
      </c>
      <c r="AT3" s="6" t="s">
        <v>43</v>
      </c>
      <c r="AU3" s="6" t="s">
        <v>44</v>
      </c>
      <c r="AV3" s="6" t="s">
        <v>45</v>
      </c>
      <c r="AW3" s="6" t="s">
        <v>46</v>
      </c>
      <c r="AX3" s="6" t="s">
        <v>47</v>
      </c>
      <c r="AY3" s="9" t="s">
        <v>48</v>
      </c>
      <c r="AZ3" s="9" t="s">
        <v>48</v>
      </c>
      <c r="BA3" s="7" t="s">
        <v>49</v>
      </c>
      <c r="BB3" s="7" t="s">
        <v>50</v>
      </c>
      <c r="BC3" s="7" t="s">
        <v>51</v>
      </c>
      <c r="BD3" s="7" t="s">
        <v>52</v>
      </c>
      <c r="BE3" s="10" t="s">
        <v>53</v>
      </c>
      <c r="BF3" s="10" t="s">
        <v>54</v>
      </c>
      <c r="BG3" s="11" t="s">
        <v>55</v>
      </c>
      <c r="BH3" s="11" t="s">
        <v>56</v>
      </c>
      <c r="BI3" s="11" t="s">
        <v>57</v>
      </c>
      <c r="BJ3" s="10" t="s">
        <v>58</v>
      </c>
      <c r="BK3" s="10" t="s">
        <v>59</v>
      </c>
      <c r="BL3" s="10" t="s">
        <v>60</v>
      </c>
      <c r="BM3" s="12" t="s">
        <v>61</v>
      </c>
      <c r="BN3" s="12" t="s">
        <v>62</v>
      </c>
      <c r="BO3" s="12" t="s">
        <v>63</v>
      </c>
      <c r="BP3" s="12" t="s">
        <v>64</v>
      </c>
      <c r="BQ3" s="12" t="s">
        <v>65</v>
      </c>
      <c r="BR3" s="12" t="s">
        <v>66</v>
      </c>
      <c r="BS3" s="12" t="s">
        <v>67</v>
      </c>
      <c r="BT3" s="12" t="s">
        <v>68</v>
      </c>
      <c r="BU3" s="12" t="s">
        <v>69</v>
      </c>
      <c r="BV3" s="12" t="s">
        <v>70</v>
      </c>
      <c r="BW3" s="12" t="s">
        <v>71</v>
      </c>
      <c r="BX3" s="12" t="s">
        <v>72</v>
      </c>
    </row>
    <row r="4" ht="18.75" customHeight="1" spans="1:78">
      <c r="B4" s="1"/>
      <c r="C4" s="5" t="s">
        <v>0</v>
      </c>
      <c r="D4" s="13" t="s">
        <v>73</v>
      </c>
      <c r="E4" s="13" t="s">
        <v>74</v>
      </c>
      <c r="F4" s="13" t="s">
        <v>75</v>
      </c>
      <c r="G4" s="13" t="s">
        <v>76</v>
      </c>
      <c r="H4" s="13" t="s">
        <v>77</v>
      </c>
      <c r="I4" s="13" t="s">
        <v>78</v>
      </c>
      <c r="J4" s="13" t="s">
        <v>79</v>
      </c>
      <c r="K4" s="13" t="s">
        <v>80</v>
      </c>
      <c r="L4" s="13" t="s">
        <v>81</v>
      </c>
      <c r="M4" s="7" t="s">
        <v>82</v>
      </c>
      <c r="N4" s="13" t="s">
        <v>83</v>
      </c>
      <c r="O4" s="13" t="s">
        <v>84</v>
      </c>
      <c r="P4" s="13" t="s">
        <v>85</v>
      </c>
      <c r="Q4" s="13" t="s">
        <v>86</v>
      </c>
      <c r="R4" s="13" t="s">
        <v>87</v>
      </c>
      <c r="S4" s="13" t="s">
        <v>88</v>
      </c>
      <c r="T4" s="13" t="s">
        <v>89</v>
      </c>
      <c r="U4" s="13" t="s">
        <v>90</v>
      </c>
      <c r="V4" s="13" t="s">
        <v>91</v>
      </c>
      <c r="W4" s="13" t="s">
        <v>92</v>
      </c>
      <c r="X4" s="13" t="s">
        <v>93</v>
      </c>
      <c r="Y4" s="13" t="s">
        <v>94</v>
      </c>
      <c r="Z4" s="13" t="s">
        <v>95</v>
      </c>
      <c r="AA4" s="13" t="s">
        <v>96</v>
      </c>
      <c r="AB4" s="13" t="s">
        <v>97</v>
      </c>
      <c r="AC4" s="13" t="s">
        <v>98</v>
      </c>
      <c r="AD4" s="13" t="s">
        <v>99</v>
      </c>
      <c r="AE4" s="13" t="s">
        <v>100</v>
      </c>
      <c r="AF4" s="13" t="s">
        <v>101</v>
      </c>
      <c r="AG4" s="13" t="s">
        <v>102</v>
      </c>
      <c r="AH4" s="13" t="s">
        <v>103</v>
      </c>
      <c r="AI4" s="13" t="s">
        <v>104</v>
      </c>
      <c r="AJ4" s="13" t="s">
        <v>105</v>
      </c>
      <c r="AK4" s="13" t="s">
        <v>106</v>
      </c>
      <c r="AL4" s="13" t="s">
        <v>107</v>
      </c>
      <c r="AM4" s="13" t="s">
        <v>108</v>
      </c>
      <c r="AN4" s="13" t="s">
        <v>109</v>
      </c>
      <c r="AO4" s="13" t="s">
        <v>110</v>
      </c>
      <c r="AP4" s="13" t="s">
        <v>111</v>
      </c>
      <c r="AQ4" s="13" t="s">
        <v>112</v>
      </c>
      <c r="AR4" s="13" t="s">
        <v>113</v>
      </c>
      <c r="AS4" s="13" t="s">
        <v>114</v>
      </c>
      <c r="AT4" s="13" t="s">
        <v>115</v>
      </c>
      <c r="AU4" s="13" t="s">
        <v>116</v>
      </c>
      <c r="AV4" s="13" t="s">
        <v>117</v>
      </c>
      <c r="AW4" s="13" t="s">
        <v>118</v>
      </c>
      <c r="AX4" s="13" t="s">
        <v>119</v>
      </c>
      <c r="AY4" s="13" t="s">
        <v>120</v>
      </c>
      <c r="AZ4" s="13" t="s">
        <v>121</v>
      </c>
      <c r="BA4" s="13" t="s">
        <v>122</v>
      </c>
      <c r="BB4" s="13" t="s">
        <v>123</v>
      </c>
      <c r="BC4" s="13" t="s">
        <v>124</v>
      </c>
      <c r="BD4" s="13" t="s">
        <v>125</v>
      </c>
      <c r="BE4" s="13" t="s">
        <v>126</v>
      </c>
      <c r="BF4" s="13" t="s">
        <v>127</v>
      </c>
      <c r="BG4" s="13" t="s">
        <v>128</v>
      </c>
      <c r="BH4" s="13" t="s">
        <v>129</v>
      </c>
      <c r="BI4" s="13" t="s">
        <v>130</v>
      </c>
      <c r="BJ4" s="13" t="s">
        <v>131</v>
      </c>
      <c r="BK4" s="13" t="s">
        <v>132</v>
      </c>
      <c r="BL4" s="13" t="s">
        <v>133</v>
      </c>
      <c r="BM4" s="13" t="s">
        <v>134</v>
      </c>
      <c r="BN4" s="13" t="s">
        <v>135</v>
      </c>
      <c r="BO4" s="13" t="s">
        <v>136</v>
      </c>
      <c r="BP4" s="13" t="s">
        <v>137</v>
      </c>
      <c r="BQ4" s="13" t="s">
        <v>138</v>
      </c>
      <c r="BR4" s="13" t="s">
        <v>139</v>
      </c>
      <c r="BS4" s="13" t="s">
        <v>140</v>
      </c>
      <c r="BT4" s="13" t="s">
        <v>141</v>
      </c>
      <c r="BU4" s="13" t="s">
        <v>142</v>
      </c>
      <c r="BV4" s="13" t="s">
        <v>143</v>
      </c>
      <c r="BW4" s="13" t="s">
        <v>144</v>
      </c>
      <c r="BX4" s="13" t="s">
        <v>145</v>
      </c>
    </row>
    <row r="5" ht="20.1" customHeight="1" spans="1:78">
      <c r="B5" s="1"/>
      <c r="C5" s="7" t="s">
        <v>146</v>
      </c>
      <c r="D5" s="7" t="s">
        <v>147</v>
      </c>
      <c r="E5" s="7" t="s">
        <v>147</v>
      </c>
      <c r="F5" s="7" t="s">
        <v>146</v>
      </c>
      <c r="G5" s="7" t="s">
        <v>147</v>
      </c>
      <c r="H5" s="7" t="s">
        <v>146</v>
      </c>
      <c r="I5" s="7" t="s">
        <v>146</v>
      </c>
      <c r="J5" s="7" t="s">
        <v>146</v>
      </c>
      <c r="K5" s="7" t="s">
        <v>146</v>
      </c>
      <c r="L5" s="7" t="s">
        <v>146</v>
      </c>
      <c r="M5" s="7" t="s">
        <v>146</v>
      </c>
      <c r="N5" s="7" t="s">
        <v>147</v>
      </c>
      <c r="O5" s="7" t="s">
        <v>146</v>
      </c>
      <c r="P5" s="7" t="s">
        <v>148</v>
      </c>
      <c r="Q5" s="7" t="s">
        <v>149</v>
      </c>
      <c r="R5" s="7" t="s">
        <v>146</v>
      </c>
      <c r="S5" s="7" t="s">
        <v>146</v>
      </c>
      <c r="T5" s="7" t="s">
        <v>146</v>
      </c>
      <c r="U5" s="7" t="s">
        <v>146</v>
      </c>
      <c r="V5" s="7" t="s">
        <v>146</v>
      </c>
      <c r="W5" s="7" t="s">
        <v>146</v>
      </c>
      <c r="X5" s="7" t="s">
        <v>150</v>
      </c>
      <c r="Y5" s="7" t="s">
        <v>150</v>
      </c>
      <c r="Z5" s="7" t="s">
        <v>146</v>
      </c>
      <c r="AA5" s="7" t="s">
        <v>146</v>
      </c>
      <c r="AB5" s="7" t="s">
        <v>146</v>
      </c>
      <c r="AC5" s="7" t="s">
        <v>146</v>
      </c>
      <c r="AD5" s="7" t="s">
        <v>146</v>
      </c>
      <c r="AE5" s="7" t="s">
        <v>146</v>
      </c>
      <c r="AF5" s="7" t="s">
        <v>150</v>
      </c>
      <c r="AG5" s="7" t="s">
        <v>146</v>
      </c>
      <c r="AH5" s="7" t="s">
        <v>149</v>
      </c>
      <c r="AI5" s="7" t="s">
        <v>146</v>
      </c>
      <c r="AJ5" s="7" t="s">
        <v>146</v>
      </c>
      <c r="AK5" s="7" t="s">
        <v>146</v>
      </c>
      <c r="AL5" s="7" t="s">
        <v>150</v>
      </c>
      <c r="AM5" s="7" t="s">
        <v>146</v>
      </c>
      <c r="AN5" s="7" t="s">
        <v>150</v>
      </c>
      <c r="AO5" s="7" t="s">
        <v>150</v>
      </c>
      <c r="AP5" s="7" t="s">
        <v>150</v>
      </c>
      <c r="AQ5" s="7" t="s">
        <v>146</v>
      </c>
      <c r="AR5" s="7" t="s">
        <v>150</v>
      </c>
      <c r="AS5" s="7" t="s">
        <v>150</v>
      </c>
      <c r="AT5" s="7" t="s">
        <v>148</v>
      </c>
      <c r="AU5" s="7" t="s">
        <v>148</v>
      </c>
      <c r="AV5" s="7" t="s">
        <v>148</v>
      </c>
      <c r="AW5" s="7" t="s">
        <v>147</v>
      </c>
      <c r="AX5" s="7" t="s">
        <v>147</v>
      </c>
      <c r="AY5" s="7" t="s">
        <v>146</v>
      </c>
      <c r="AZ5" s="7" t="s">
        <v>148</v>
      </c>
      <c r="BA5" s="7" t="s">
        <v>147</v>
      </c>
      <c r="BB5" s="7" t="s">
        <v>147</v>
      </c>
      <c r="BC5" s="7" t="s">
        <v>146</v>
      </c>
      <c r="BD5" s="7" t="s">
        <v>147</v>
      </c>
      <c r="BE5" s="7" t="s">
        <v>150</v>
      </c>
      <c r="BF5" s="7" t="s">
        <v>146</v>
      </c>
      <c r="BG5" s="7" t="s">
        <v>150</v>
      </c>
      <c r="BH5" s="7" t="s">
        <v>146</v>
      </c>
      <c r="BI5" s="7" t="s">
        <v>150</v>
      </c>
      <c r="BJ5" s="7" t="s">
        <v>146</v>
      </c>
      <c r="BK5" s="7" t="s">
        <v>148</v>
      </c>
      <c r="BL5" s="7" t="s">
        <v>146</v>
      </c>
      <c r="BM5" s="7" t="s">
        <v>146</v>
      </c>
      <c r="BN5" s="7" t="s">
        <v>146</v>
      </c>
      <c r="BO5" s="7" t="s">
        <v>150</v>
      </c>
      <c r="BP5" s="7" t="s">
        <v>146</v>
      </c>
      <c r="BQ5" s="7" t="s">
        <v>146</v>
      </c>
      <c r="BR5" s="13" t="s">
        <v>146</v>
      </c>
      <c r="BS5" s="13" t="s">
        <v>147</v>
      </c>
      <c r="BT5" s="13" t="s">
        <v>147</v>
      </c>
      <c r="BU5" s="13" t="s">
        <v>146</v>
      </c>
      <c r="BV5" s="7" t="s">
        <v>146</v>
      </c>
      <c r="BW5" s="7" t="s">
        <v>150</v>
      </c>
      <c r="BX5" s="7" t="s">
        <v>150</v>
      </c>
    </row>
    <row r="6" customFormat="1" ht="20.1" customHeight="1" spans="1:78">
      <c r="A6" s="1"/>
      <c r="B6" s="14"/>
      <c r="C6" s="15">
        <v>1</v>
      </c>
      <c r="D6" s="14" t="s">
        <v>151</v>
      </c>
      <c r="E6" s="14" t="s">
        <v>152</v>
      </c>
      <c r="F6" s="14">
        <v>0</v>
      </c>
      <c r="G6" s="14">
        <v>1110001</v>
      </c>
      <c r="H6" s="14">
        <v>0</v>
      </c>
      <c r="I6" s="14">
        <v>1</v>
      </c>
      <c r="J6" s="14">
        <v>1</v>
      </c>
      <c r="K6" s="14">
        <v>0</v>
      </c>
      <c r="L6" s="14">
        <v>0</v>
      </c>
      <c r="M6" s="14">
        <v>0</v>
      </c>
      <c r="N6" s="14">
        <v>0</v>
      </c>
      <c r="O6" s="14">
        <v>6</v>
      </c>
      <c r="P6" s="14">
        <v>0</v>
      </c>
      <c r="Q6" s="14">
        <v>0</v>
      </c>
      <c r="R6" s="14">
        <v>0</v>
      </c>
      <c r="S6" s="14">
        <v>0</v>
      </c>
      <c r="T6" s="14" t="s">
        <v>153</v>
      </c>
      <c r="U6" s="14">
        <v>1</v>
      </c>
      <c r="V6" s="14">
        <v>2</v>
      </c>
      <c r="W6" s="14">
        <v>0</v>
      </c>
      <c r="X6" s="14">
        <v>3</v>
      </c>
      <c r="Y6" s="14"/>
      <c r="Z6" s="14">
        <v>350</v>
      </c>
      <c r="AA6" s="14">
        <v>0</v>
      </c>
      <c r="AB6" s="14">
        <v>0</v>
      </c>
      <c r="AC6" s="14">
        <v>0</v>
      </c>
      <c r="AD6" s="14">
        <v>0</v>
      </c>
      <c r="AE6" s="14">
        <v>0</v>
      </c>
      <c r="AF6" s="14">
        <v>9</v>
      </c>
      <c r="AG6" s="14">
        <v>2</v>
      </c>
      <c r="AH6" s="14" t="s">
        <v>154</v>
      </c>
      <c r="AI6" s="14">
        <v>2</v>
      </c>
      <c r="AJ6" s="14">
        <v>2</v>
      </c>
      <c r="AK6" s="14">
        <v>0</v>
      </c>
      <c r="AL6" s="14">
        <v>1.5</v>
      </c>
      <c r="AM6" s="14">
        <v>0</v>
      </c>
      <c r="AN6" s="14">
        <v>0</v>
      </c>
      <c r="AO6" s="14">
        <v>0</v>
      </c>
      <c r="AP6" s="14">
        <v>1</v>
      </c>
      <c r="AQ6" s="14">
        <v>3000</v>
      </c>
      <c r="AR6" s="14">
        <v>0.5</v>
      </c>
      <c r="AS6" s="14">
        <v>0</v>
      </c>
      <c r="AT6" s="14">
        <v>0</v>
      </c>
      <c r="AU6" s="14" t="s">
        <v>155</v>
      </c>
      <c r="AV6" s="14"/>
      <c r="AW6" s="14" t="s">
        <v>156</v>
      </c>
      <c r="AX6" s="14"/>
      <c r="AY6" s="14" t="s">
        <v>157</v>
      </c>
      <c r="AZ6" s="14" t="s">
        <v>153</v>
      </c>
      <c r="BA6" s="14">
        <v>0</v>
      </c>
      <c r="BB6" s="14">
        <v>0</v>
      </c>
      <c r="BC6" s="14">
        <v>0</v>
      </c>
      <c r="BD6" s="14" t="str">
        <f>"立即对目标范围内的怪物造成"&amp;X6*100&amp;"%攻击伤害+"&amp;Z6&amp;"点固定伤害。"</f>
        <v>立即对目标范围内的怪物造成300%攻击伤害+350点固定伤害。</v>
      </c>
      <c r="BE6" s="14">
        <v>0</v>
      </c>
      <c r="BF6" s="14">
        <v>0</v>
      </c>
      <c r="BG6" s="14">
        <v>0</v>
      </c>
      <c r="BH6" s="14">
        <v>0</v>
      </c>
      <c r="BI6" s="14">
        <v>0</v>
      </c>
      <c r="BJ6" s="14">
        <v>0</v>
      </c>
      <c r="BK6" s="14">
        <v>0</v>
      </c>
      <c r="BL6" s="14">
        <v>0</v>
      </c>
      <c r="BM6" s="14">
        <v>0</v>
      </c>
      <c r="BN6" s="14">
        <v>0</v>
      </c>
      <c r="BO6" s="14">
        <v>0</v>
      </c>
      <c r="BP6" s="14">
        <v>0</v>
      </c>
      <c r="BQ6" s="14">
        <v>0</v>
      </c>
      <c r="BR6" s="14">
        <v>0</v>
      </c>
      <c r="BS6" s="14"/>
      <c r="BT6" s="14"/>
      <c r="BU6" s="14"/>
      <c r="BV6" s="14">
        <v>0</v>
      </c>
      <c r="BW6" s="14">
        <v>0</v>
      </c>
      <c r="BX6" s="14">
        <v>0</v>
      </c>
      <c r="BY6" s="14"/>
      <c r="BZ6" s="14"/>
    </row>
    <row r="7" customFormat="1" ht="20.1" customHeight="1" spans="1:78">
      <c r="A7" s="1"/>
      <c r="B7" s="14"/>
      <c r="C7" s="15">
        <v>2</v>
      </c>
      <c r="D7" s="14" t="s">
        <v>158</v>
      </c>
      <c r="E7" s="14" t="s">
        <v>159</v>
      </c>
      <c r="F7" s="14">
        <v>1</v>
      </c>
      <c r="G7" s="14">
        <v>2303110</v>
      </c>
      <c r="H7" s="14">
        <v>0</v>
      </c>
      <c r="I7" s="14">
        <v>0</v>
      </c>
      <c r="J7" s="14">
        <v>0</v>
      </c>
      <c r="K7" s="14">
        <v>0</v>
      </c>
      <c r="L7" s="14">
        <v>0</v>
      </c>
      <c r="M7" s="14">
        <v>0</v>
      </c>
      <c r="N7" s="14">
        <v>0</v>
      </c>
      <c r="O7" s="14">
        <v>1</v>
      </c>
      <c r="P7" s="14">
        <v>0</v>
      </c>
      <c r="Q7" s="14">
        <v>0</v>
      </c>
      <c r="R7" s="14">
        <v>0</v>
      </c>
      <c r="S7" s="14">
        <v>0</v>
      </c>
      <c r="T7" s="14">
        <v>0</v>
      </c>
      <c r="U7" s="14">
        <v>1</v>
      </c>
      <c r="V7" s="14">
        <v>2</v>
      </c>
      <c r="W7" s="14">
        <v>0</v>
      </c>
      <c r="X7" s="14">
        <v>2.5</v>
      </c>
      <c r="Y7" s="14"/>
      <c r="Z7" s="14">
        <v>0</v>
      </c>
      <c r="AA7" s="14">
        <v>0</v>
      </c>
      <c r="AB7" s="14">
        <v>0</v>
      </c>
      <c r="AC7" s="14">
        <v>0</v>
      </c>
      <c r="AD7" s="14">
        <v>0</v>
      </c>
      <c r="AE7" s="14">
        <v>0</v>
      </c>
      <c r="AF7" s="14">
        <v>12</v>
      </c>
      <c r="AG7" s="14">
        <v>0</v>
      </c>
      <c r="AH7" s="14">
        <v>0</v>
      </c>
      <c r="AI7" s="14">
        <v>7</v>
      </c>
      <c r="AJ7" s="14">
        <v>0</v>
      </c>
      <c r="AK7" s="14">
        <v>0</v>
      </c>
      <c r="AL7" s="14">
        <v>6</v>
      </c>
      <c r="AM7" s="14">
        <v>0</v>
      </c>
      <c r="AN7" s="14">
        <v>0</v>
      </c>
      <c r="AO7" s="14">
        <v>0</v>
      </c>
      <c r="AP7" s="14">
        <v>0.5</v>
      </c>
      <c r="AQ7" s="14">
        <v>1000</v>
      </c>
      <c r="AR7" s="14">
        <v>0</v>
      </c>
      <c r="AS7" s="14">
        <v>0</v>
      </c>
      <c r="AT7" s="14">
        <v>0</v>
      </c>
      <c r="AU7" s="14">
        <v>0</v>
      </c>
      <c r="AV7" s="14"/>
      <c r="AW7" s="14">
        <v>2</v>
      </c>
      <c r="AX7" s="14"/>
      <c r="AY7" s="14" t="s">
        <v>157</v>
      </c>
      <c r="AZ7" s="14" t="s">
        <v>153</v>
      </c>
      <c r="BA7" s="14">
        <v>0</v>
      </c>
      <c r="BB7" s="14">
        <v>0</v>
      </c>
      <c r="BC7" s="14">
        <v>0</v>
      </c>
      <c r="BD7" s="14" t="s">
        <v>160</v>
      </c>
      <c r="BE7" s="14">
        <v>0</v>
      </c>
      <c r="BF7" s="14">
        <v>0</v>
      </c>
      <c r="BG7" s="14">
        <v>0</v>
      </c>
      <c r="BH7" s="14">
        <v>0</v>
      </c>
      <c r="BI7" s="14">
        <v>0</v>
      </c>
      <c r="BJ7" s="14">
        <v>0</v>
      </c>
      <c r="BK7" s="14">
        <v>0</v>
      </c>
      <c r="BL7" s="14">
        <v>0</v>
      </c>
      <c r="BM7" s="14">
        <v>0</v>
      </c>
      <c r="BN7" s="14">
        <v>0</v>
      </c>
      <c r="BO7" s="14">
        <v>0</v>
      </c>
      <c r="BP7" s="14">
        <v>0</v>
      </c>
      <c r="BQ7" s="14">
        <v>0</v>
      </c>
      <c r="BR7" s="14">
        <v>0</v>
      </c>
      <c r="BS7" s="14"/>
      <c r="BT7" s="14"/>
      <c r="BU7" s="14"/>
      <c r="BV7" s="14">
        <v>0</v>
      </c>
      <c r="BW7" s="14">
        <v>0</v>
      </c>
      <c r="BX7" s="14">
        <v>0</v>
      </c>
      <c r="BY7" s="14"/>
      <c r="BZ7" s="14"/>
    </row>
    <row r="8" customFormat="1" ht="20.1" customHeight="1" spans="1:78">
      <c r="A8" s="1"/>
      <c r="B8" s="14"/>
      <c r="C8" s="15">
        <v>3</v>
      </c>
      <c r="D8" s="14" t="s">
        <v>161</v>
      </c>
      <c r="E8" s="14" t="s">
        <v>162</v>
      </c>
      <c r="F8" s="14">
        <v>0</v>
      </c>
      <c r="G8" s="14">
        <v>80000001</v>
      </c>
      <c r="H8" s="14">
        <v>0</v>
      </c>
      <c r="I8" s="14">
        <v>1</v>
      </c>
      <c r="J8" s="14">
        <v>3</v>
      </c>
      <c r="K8" s="14">
        <v>5</v>
      </c>
      <c r="L8" s="14">
        <v>0</v>
      </c>
      <c r="M8" s="14">
        <v>0</v>
      </c>
      <c r="N8" s="14">
        <v>0</v>
      </c>
      <c r="O8" s="14">
        <v>1</v>
      </c>
      <c r="P8" s="14">
        <v>0</v>
      </c>
      <c r="Q8" s="14">
        <v>0</v>
      </c>
      <c r="R8" s="14">
        <v>0</v>
      </c>
      <c r="S8" s="14">
        <v>0</v>
      </c>
      <c r="T8" s="14">
        <v>0</v>
      </c>
      <c r="U8" s="14">
        <v>1</v>
      </c>
      <c r="V8" s="14">
        <v>2</v>
      </c>
      <c r="W8" s="14">
        <v>0</v>
      </c>
      <c r="X8" s="14">
        <v>1.2</v>
      </c>
      <c r="Y8" s="14"/>
      <c r="Z8" s="14">
        <v>600</v>
      </c>
      <c r="AA8" s="14">
        <v>0</v>
      </c>
      <c r="AB8" s="14">
        <v>20</v>
      </c>
      <c r="AC8" s="14">
        <v>0</v>
      </c>
      <c r="AD8" s="14">
        <v>0</v>
      </c>
      <c r="AE8" s="14">
        <v>0</v>
      </c>
      <c r="AF8" s="14">
        <v>9</v>
      </c>
      <c r="AG8" s="14">
        <v>1</v>
      </c>
      <c r="AH8" s="14">
        <v>2</v>
      </c>
      <c r="AI8" s="14">
        <v>2</v>
      </c>
      <c r="AJ8" s="14">
        <v>2</v>
      </c>
      <c r="AK8" s="14">
        <v>0</v>
      </c>
      <c r="AL8" s="14">
        <v>3</v>
      </c>
      <c r="AM8" s="14">
        <v>0</v>
      </c>
      <c r="AN8" s="14">
        <v>0</v>
      </c>
      <c r="AO8" s="14">
        <v>0</v>
      </c>
      <c r="AP8" s="14">
        <v>0.5</v>
      </c>
      <c r="AQ8" s="14">
        <v>1500</v>
      </c>
      <c r="AR8" s="14">
        <v>0</v>
      </c>
      <c r="AS8" s="14">
        <v>20</v>
      </c>
      <c r="AT8" s="14">
        <v>0</v>
      </c>
      <c r="AU8" s="14" t="s">
        <v>155</v>
      </c>
      <c r="AV8" s="14"/>
      <c r="AW8" s="14" t="s">
        <v>156</v>
      </c>
      <c r="AX8" s="14"/>
      <c r="AY8" s="14" t="s">
        <v>157</v>
      </c>
      <c r="AZ8" s="14" t="s">
        <v>153</v>
      </c>
      <c r="BA8" s="14">
        <v>0</v>
      </c>
      <c r="BB8" s="14">
        <v>0</v>
      </c>
      <c r="BC8" s="14">
        <v>0</v>
      </c>
      <c r="BD8" s="14" t="str">
        <f>"对目标方向投掷2个光球,对触碰的单位造成造成"&amp;X8*100&amp;"%攻击伤害+"&amp;Z8&amp;"点固定伤害"&amp;",此光球再移动到一定位置后会再原始路径返回"</f>
        <v>对目标方向投掷2个光球,对触碰的单位造成造成120%攻击伤害+600点固定伤害,此光球再移动到一定位置后会再原始路径返回</v>
      </c>
      <c r="BE8" s="14">
        <v>0</v>
      </c>
      <c r="BF8" s="14">
        <v>0</v>
      </c>
      <c r="BG8" s="14">
        <v>0</v>
      </c>
      <c r="BH8" s="14">
        <v>0</v>
      </c>
      <c r="BI8" s="14">
        <v>0</v>
      </c>
      <c r="BJ8" s="14">
        <v>0</v>
      </c>
      <c r="BK8" s="14">
        <v>0</v>
      </c>
      <c r="BL8" s="14">
        <v>0</v>
      </c>
      <c r="BM8" s="14">
        <v>0</v>
      </c>
      <c r="BN8" s="14">
        <v>0</v>
      </c>
      <c r="BO8" s="14">
        <v>0</v>
      </c>
      <c r="BP8" s="14">
        <v>0</v>
      </c>
      <c r="BQ8" s="14">
        <v>0</v>
      </c>
      <c r="BR8" s="14">
        <v>0</v>
      </c>
      <c r="BS8" s="14"/>
      <c r="BT8" s="14"/>
      <c r="BU8" s="14"/>
      <c r="BV8" s="14">
        <v>0</v>
      </c>
      <c r="BW8" s="14">
        <v>0</v>
      </c>
      <c r="BX8" s="14">
        <v>0</v>
      </c>
      <c r="BY8" s="14"/>
      <c r="BZ8" s="14"/>
    </row>
    <row r="9" customFormat="1" ht="20.1" customHeight="1" spans="1:78">
      <c r="A9" s="1"/>
      <c r="B9" s="14"/>
      <c r="C9" s="15">
        <v>4</v>
      </c>
      <c r="D9" s="14" t="s">
        <v>163</v>
      </c>
      <c r="E9" s="14" t="s">
        <v>164</v>
      </c>
      <c r="F9" s="14">
        <v>1</v>
      </c>
      <c r="G9" s="14">
        <v>80000001</v>
      </c>
      <c r="H9" s="14">
        <v>0</v>
      </c>
      <c r="I9" s="14">
        <v>0</v>
      </c>
      <c r="J9" s="14">
        <v>1</v>
      </c>
      <c r="K9" s="14">
        <v>0</v>
      </c>
      <c r="L9" s="14">
        <v>0</v>
      </c>
      <c r="M9" s="14">
        <v>0</v>
      </c>
      <c r="N9" s="14">
        <v>0</v>
      </c>
      <c r="O9" s="14">
        <v>2</v>
      </c>
      <c r="P9" s="14">
        <v>1</v>
      </c>
      <c r="Q9" s="14">
        <v>0.1</v>
      </c>
      <c r="R9" s="14">
        <v>0</v>
      </c>
      <c r="S9" s="14">
        <v>0</v>
      </c>
      <c r="T9" s="14">
        <v>0</v>
      </c>
      <c r="U9" s="14">
        <v>1</v>
      </c>
      <c r="V9" s="14">
        <v>1</v>
      </c>
      <c r="W9" s="14">
        <v>0</v>
      </c>
      <c r="X9" s="14">
        <v>1.5</v>
      </c>
      <c r="Y9" s="14"/>
      <c r="Z9" s="14">
        <v>0</v>
      </c>
      <c r="AA9" s="14">
        <v>0</v>
      </c>
      <c r="AB9" s="14">
        <v>0</v>
      </c>
      <c r="AC9" s="14">
        <v>0</v>
      </c>
      <c r="AD9" s="14">
        <v>1</v>
      </c>
      <c r="AE9" s="14">
        <v>0</v>
      </c>
      <c r="AF9" s="14">
        <v>5</v>
      </c>
      <c r="AG9" s="14">
        <v>1</v>
      </c>
      <c r="AH9" s="14">
        <v>3</v>
      </c>
      <c r="AI9" s="14">
        <v>2</v>
      </c>
      <c r="AJ9" s="14">
        <v>1</v>
      </c>
      <c r="AK9" s="14">
        <v>0</v>
      </c>
      <c r="AL9" s="14">
        <v>6</v>
      </c>
      <c r="AM9" s="14">
        <v>0</v>
      </c>
      <c r="AN9" s="14">
        <v>0</v>
      </c>
      <c r="AO9" s="14">
        <v>0</v>
      </c>
      <c r="AP9" s="14">
        <v>0</v>
      </c>
      <c r="AQ9" s="14">
        <v>5000</v>
      </c>
      <c r="AR9" s="14">
        <v>0.2</v>
      </c>
      <c r="AS9" s="14">
        <v>0</v>
      </c>
      <c r="AT9" s="14">
        <v>0</v>
      </c>
      <c r="AU9" s="14" t="s">
        <v>155</v>
      </c>
      <c r="AV9" s="14"/>
      <c r="AW9" s="14" t="s">
        <v>155</v>
      </c>
      <c r="AX9" s="14"/>
      <c r="AY9" s="14" t="s">
        <v>157</v>
      </c>
      <c r="AZ9" s="14" t="s">
        <v>153</v>
      </c>
      <c r="BA9" s="14" t="s">
        <v>155</v>
      </c>
      <c r="BB9" s="14">
        <v>0</v>
      </c>
      <c r="BC9" s="14">
        <v>0</v>
      </c>
      <c r="BD9" s="14"/>
      <c r="BE9" s="14">
        <v>0</v>
      </c>
      <c r="BF9" s="14">
        <v>0</v>
      </c>
      <c r="BG9" s="14">
        <v>0</v>
      </c>
      <c r="BH9" s="14">
        <v>0</v>
      </c>
      <c r="BI9" s="14">
        <v>0</v>
      </c>
      <c r="BJ9" s="14">
        <v>0</v>
      </c>
      <c r="BK9" s="14">
        <v>0</v>
      </c>
      <c r="BL9" s="14">
        <v>1</v>
      </c>
      <c r="BM9" s="14">
        <v>0</v>
      </c>
      <c r="BN9" s="14">
        <v>0</v>
      </c>
      <c r="BO9" s="14">
        <v>0</v>
      </c>
      <c r="BP9" s="14">
        <v>0</v>
      </c>
      <c r="BQ9" s="14">
        <v>0</v>
      </c>
      <c r="BR9" s="14">
        <v>0</v>
      </c>
      <c r="BS9" s="14"/>
      <c r="BT9" s="14"/>
      <c r="BU9" s="14"/>
      <c r="BV9" s="14">
        <v>0</v>
      </c>
      <c r="BW9" s="14">
        <v>0</v>
      </c>
      <c r="BX9" s="14">
        <v>0</v>
      </c>
      <c r="BY9" s="14"/>
      <c r="BZ9" s="14"/>
    </row>
    <row r="10" customFormat="1" ht="20.1" customHeight="1" spans="1:78">
      <c r="A10" s="1"/>
      <c r="B10" s="14"/>
      <c r="C10" s="15">
        <v>5</v>
      </c>
      <c r="D10" s="14" t="s">
        <v>165</v>
      </c>
      <c r="E10" s="14" t="s">
        <v>166</v>
      </c>
      <c r="F10" s="14">
        <v>1</v>
      </c>
      <c r="G10" s="14">
        <v>80000001</v>
      </c>
      <c r="H10" s="14">
        <v>0</v>
      </c>
      <c r="I10" s="14">
        <v>0</v>
      </c>
      <c r="J10" s="14">
        <v>1</v>
      </c>
      <c r="K10" s="14">
        <v>0</v>
      </c>
      <c r="L10" s="14">
        <v>0</v>
      </c>
      <c r="M10" s="14">
        <v>0</v>
      </c>
      <c r="N10" s="14">
        <v>0</v>
      </c>
      <c r="O10" s="14">
        <v>1</v>
      </c>
      <c r="P10" s="14">
        <v>0</v>
      </c>
      <c r="Q10" s="14">
        <v>0</v>
      </c>
      <c r="R10" s="14">
        <v>0</v>
      </c>
      <c r="S10" s="14">
        <v>0</v>
      </c>
      <c r="T10" s="14">
        <v>0</v>
      </c>
      <c r="U10" s="14">
        <v>1</v>
      </c>
      <c r="V10" s="14">
        <v>1</v>
      </c>
      <c r="W10" s="14">
        <v>0</v>
      </c>
      <c r="X10" s="14">
        <v>1.5</v>
      </c>
      <c r="Y10" s="14"/>
      <c r="Z10" s="14">
        <v>0</v>
      </c>
      <c r="AA10" s="14">
        <v>0</v>
      </c>
      <c r="AB10" s="14">
        <v>0</v>
      </c>
      <c r="AC10" s="14">
        <v>0</v>
      </c>
      <c r="AD10" s="14">
        <v>1</v>
      </c>
      <c r="AE10" s="14">
        <v>1</v>
      </c>
      <c r="AF10" s="14">
        <v>5</v>
      </c>
      <c r="AG10" s="14">
        <v>1</v>
      </c>
      <c r="AH10" s="14">
        <v>3</v>
      </c>
      <c r="AI10" s="14">
        <v>2</v>
      </c>
      <c r="AJ10" s="14">
        <v>1</v>
      </c>
      <c r="AK10" s="14">
        <v>0</v>
      </c>
      <c r="AL10" s="14">
        <v>6</v>
      </c>
      <c r="AM10" s="14">
        <v>0</v>
      </c>
      <c r="AN10" s="14">
        <v>0</v>
      </c>
      <c r="AO10" s="14">
        <v>0</v>
      </c>
      <c r="AP10" s="14">
        <v>0</v>
      </c>
      <c r="AQ10" s="14">
        <v>5000</v>
      </c>
      <c r="AR10" s="14">
        <v>0.2</v>
      </c>
      <c r="AS10" s="14">
        <v>0</v>
      </c>
      <c r="AT10" s="14">
        <v>0</v>
      </c>
      <c r="AU10" s="14" t="s">
        <v>155</v>
      </c>
      <c r="AV10" s="14"/>
      <c r="AW10" s="14" t="s">
        <v>155</v>
      </c>
      <c r="AX10" s="14"/>
      <c r="AY10" s="14" t="s">
        <v>157</v>
      </c>
      <c r="AZ10" s="14" t="s">
        <v>153</v>
      </c>
      <c r="BA10" s="14" t="s">
        <v>167</v>
      </c>
      <c r="BB10" s="14">
        <v>0</v>
      </c>
      <c r="BC10" s="14">
        <v>0</v>
      </c>
      <c r="BD10" s="14" t="s">
        <v>168</v>
      </c>
      <c r="BE10" s="14">
        <v>0</v>
      </c>
      <c r="BF10" s="14">
        <v>0</v>
      </c>
      <c r="BG10" s="14">
        <v>0</v>
      </c>
      <c r="BH10" s="14">
        <v>0</v>
      </c>
      <c r="BI10" s="14">
        <v>0</v>
      </c>
      <c r="BJ10" s="14">
        <v>0</v>
      </c>
      <c r="BK10" s="14">
        <v>0</v>
      </c>
      <c r="BL10" s="14">
        <v>1</v>
      </c>
      <c r="BM10" s="14">
        <v>0</v>
      </c>
      <c r="BN10" s="14">
        <v>0</v>
      </c>
      <c r="BO10" s="14">
        <v>0</v>
      </c>
      <c r="BP10" s="14">
        <v>0</v>
      </c>
      <c r="BQ10" s="14">
        <v>1</v>
      </c>
      <c r="BR10" s="14">
        <v>0</v>
      </c>
      <c r="BS10" s="14"/>
      <c r="BT10" s="14"/>
      <c r="BU10" s="14"/>
      <c r="BV10" s="14">
        <v>0</v>
      </c>
      <c r="BW10" s="14">
        <v>0</v>
      </c>
      <c r="BX10" s="14">
        <v>0</v>
      </c>
      <c r="BY10" s="14"/>
      <c r="BZ10" s="14"/>
    </row>
    <row r="11" customFormat="1" ht="20.1" customHeight="1" spans="1:78">
      <c r="A11" s="1"/>
      <c r="B11" s="14"/>
      <c r="C11" s="15">
        <v>6</v>
      </c>
      <c r="D11" s="14" t="s">
        <v>169</v>
      </c>
      <c r="E11" s="14" t="s">
        <v>170</v>
      </c>
      <c r="F11" s="14">
        <v>1</v>
      </c>
      <c r="G11" s="14">
        <v>80000001</v>
      </c>
      <c r="H11" s="14">
        <v>0</v>
      </c>
      <c r="I11" s="14">
        <v>0</v>
      </c>
      <c r="J11" s="14">
        <v>1</v>
      </c>
      <c r="K11" s="14">
        <v>0</v>
      </c>
      <c r="L11" s="14">
        <v>0</v>
      </c>
      <c r="M11" s="14">
        <v>0</v>
      </c>
      <c r="N11" s="14">
        <v>0</v>
      </c>
      <c r="O11" s="14">
        <v>1</v>
      </c>
      <c r="P11" s="14">
        <v>0</v>
      </c>
      <c r="Q11" s="14">
        <v>0</v>
      </c>
      <c r="R11" s="14">
        <v>0</v>
      </c>
      <c r="S11" s="14">
        <v>0</v>
      </c>
      <c r="T11" s="14">
        <v>0</v>
      </c>
      <c r="U11" s="14">
        <v>1</v>
      </c>
      <c r="V11" s="14">
        <v>1</v>
      </c>
      <c r="W11" s="14">
        <v>0</v>
      </c>
      <c r="X11" s="14">
        <v>1.5</v>
      </c>
      <c r="Y11" s="14"/>
      <c r="Z11" s="14">
        <v>0</v>
      </c>
      <c r="AA11" s="14">
        <v>0</v>
      </c>
      <c r="AB11" s="14">
        <v>0</v>
      </c>
      <c r="AC11" s="14">
        <v>0</v>
      </c>
      <c r="AD11" s="14">
        <v>1</v>
      </c>
      <c r="AE11" s="14">
        <v>1</v>
      </c>
      <c r="AF11" s="14">
        <v>5</v>
      </c>
      <c r="AG11" s="14">
        <v>1</v>
      </c>
      <c r="AH11" s="14">
        <v>10</v>
      </c>
      <c r="AI11" s="14">
        <v>2</v>
      </c>
      <c r="AJ11" s="14">
        <v>1</v>
      </c>
      <c r="AK11" s="14">
        <v>0</v>
      </c>
      <c r="AL11" s="14">
        <v>6</v>
      </c>
      <c r="AM11" s="14">
        <v>0</v>
      </c>
      <c r="AN11" s="14">
        <v>0</v>
      </c>
      <c r="AO11" s="14">
        <v>0</v>
      </c>
      <c r="AP11" s="14">
        <v>0</v>
      </c>
      <c r="AQ11" s="14">
        <v>5000</v>
      </c>
      <c r="AR11" s="14">
        <v>1</v>
      </c>
      <c r="AS11" s="14">
        <v>0</v>
      </c>
      <c r="AT11" s="14">
        <v>0</v>
      </c>
      <c r="AU11" s="14" t="s">
        <v>155</v>
      </c>
      <c r="AV11" s="14"/>
      <c r="AW11" s="14" t="s">
        <v>155</v>
      </c>
      <c r="AX11" s="14"/>
      <c r="AY11" s="14" t="s">
        <v>157</v>
      </c>
      <c r="AZ11" s="14" t="s">
        <v>153</v>
      </c>
      <c r="BA11" s="14" t="s">
        <v>155</v>
      </c>
      <c r="BB11" s="14">
        <v>0</v>
      </c>
      <c r="BC11" s="14">
        <v>0</v>
      </c>
      <c r="BD11" s="14" t="s">
        <v>171</v>
      </c>
      <c r="BE11" s="14">
        <v>0</v>
      </c>
      <c r="BF11" s="14">
        <v>0</v>
      </c>
      <c r="BG11" s="14">
        <v>0</v>
      </c>
      <c r="BH11" s="14">
        <v>0</v>
      </c>
      <c r="BI11" s="14">
        <v>0</v>
      </c>
      <c r="BJ11" s="14">
        <v>0</v>
      </c>
      <c r="BK11" s="14">
        <v>0</v>
      </c>
      <c r="BL11" s="14">
        <v>1</v>
      </c>
      <c r="BM11" s="14">
        <v>0</v>
      </c>
      <c r="BN11" s="14">
        <v>0</v>
      </c>
      <c r="BO11" s="14">
        <v>0</v>
      </c>
      <c r="BP11" s="14">
        <v>0</v>
      </c>
      <c r="BQ11" s="14">
        <v>1</v>
      </c>
      <c r="BR11" s="14">
        <v>0</v>
      </c>
      <c r="BS11" s="14"/>
      <c r="BT11" s="14"/>
      <c r="BU11" s="14"/>
      <c r="BV11" s="14">
        <v>0</v>
      </c>
      <c r="BW11" s="14">
        <v>0</v>
      </c>
      <c r="BX11" s="14">
        <v>0</v>
      </c>
      <c r="BY11" s="14"/>
      <c r="BZ11" s="14"/>
    </row>
    <row r="12" customFormat="1" ht="20.1" customHeight="1" spans="1:78">
      <c r="A12" s="1"/>
      <c r="B12" s="14"/>
      <c r="C12" s="15">
        <v>7</v>
      </c>
      <c r="D12" s="14" t="s">
        <v>172</v>
      </c>
      <c r="E12" s="14" t="s">
        <v>173</v>
      </c>
      <c r="F12" s="14">
        <v>1</v>
      </c>
      <c r="G12" s="14" t="s">
        <v>174</v>
      </c>
      <c r="H12" s="14">
        <v>0</v>
      </c>
      <c r="I12" s="14">
        <v>0</v>
      </c>
      <c r="J12" s="14">
        <v>1</v>
      </c>
      <c r="K12" s="14">
        <v>0</v>
      </c>
      <c r="L12" s="14">
        <v>0</v>
      </c>
      <c r="M12" s="14">
        <v>0</v>
      </c>
      <c r="N12" s="14">
        <v>0</v>
      </c>
      <c r="O12" s="14">
        <v>2</v>
      </c>
      <c r="P12" s="14">
        <v>2</v>
      </c>
      <c r="Q12" s="14">
        <v>0.8</v>
      </c>
      <c r="R12" s="14">
        <v>0</v>
      </c>
      <c r="S12" s="14">
        <v>0</v>
      </c>
      <c r="T12" s="14">
        <v>0</v>
      </c>
      <c r="U12" s="14">
        <v>1</v>
      </c>
      <c r="V12" s="14">
        <v>2</v>
      </c>
      <c r="W12" s="14">
        <v>0</v>
      </c>
      <c r="X12" s="14">
        <v>0</v>
      </c>
      <c r="Y12" s="14"/>
      <c r="Z12" s="14">
        <v>0</v>
      </c>
      <c r="AA12" s="14">
        <v>0</v>
      </c>
      <c r="AB12" s="14">
        <v>0</v>
      </c>
      <c r="AC12" s="14">
        <v>0</v>
      </c>
      <c r="AD12" s="14">
        <v>0</v>
      </c>
      <c r="AE12" s="14">
        <v>0</v>
      </c>
      <c r="AF12" s="14">
        <v>30</v>
      </c>
      <c r="AG12" s="14">
        <v>0</v>
      </c>
      <c r="AH12" s="14">
        <v>0</v>
      </c>
      <c r="AI12" s="14">
        <v>2</v>
      </c>
      <c r="AJ12" s="14">
        <v>2</v>
      </c>
      <c r="AK12" s="14">
        <v>0</v>
      </c>
      <c r="AL12" s="14">
        <v>1.5</v>
      </c>
      <c r="AM12" s="14">
        <v>0</v>
      </c>
      <c r="AN12" s="14">
        <v>0</v>
      </c>
      <c r="AO12" s="14">
        <v>0</v>
      </c>
      <c r="AP12" s="14">
        <v>1</v>
      </c>
      <c r="AQ12" s="14">
        <v>3000</v>
      </c>
      <c r="AR12" s="14">
        <v>0.5</v>
      </c>
      <c r="AS12" s="14">
        <v>0</v>
      </c>
      <c r="AT12" s="14">
        <v>0</v>
      </c>
      <c r="AU12" s="14" t="s">
        <v>155</v>
      </c>
      <c r="AV12" s="14"/>
      <c r="AW12" s="14" t="s">
        <v>175</v>
      </c>
      <c r="AX12" s="14"/>
      <c r="AY12" s="14" t="s">
        <v>157</v>
      </c>
      <c r="AZ12" s="14" t="s">
        <v>153</v>
      </c>
      <c r="BA12" s="14" t="s">
        <v>176</v>
      </c>
      <c r="BB12" s="14">
        <v>0</v>
      </c>
      <c r="BC12" s="14">
        <v>0</v>
      </c>
      <c r="BD12" s="14" t="s">
        <v>177</v>
      </c>
      <c r="BE12" s="14">
        <v>0</v>
      </c>
      <c r="BF12" s="14">
        <v>0</v>
      </c>
      <c r="BG12" s="14">
        <v>0</v>
      </c>
      <c r="BH12" s="14">
        <v>0</v>
      </c>
      <c r="BI12" s="14">
        <v>0</v>
      </c>
      <c r="BJ12" s="14">
        <v>0</v>
      </c>
      <c r="BK12" s="14">
        <v>0</v>
      </c>
      <c r="BL12" s="14">
        <v>0</v>
      </c>
      <c r="BM12" s="14">
        <v>0</v>
      </c>
      <c r="BN12" s="14">
        <v>0</v>
      </c>
      <c r="BO12" s="14">
        <v>0</v>
      </c>
      <c r="BP12" s="14">
        <v>0</v>
      </c>
      <c r="BQ12" s="14">
        <v>0</v>
      </c>
      <c r="BR12" s="14">
        <v>0</v>
      </c>
      <c r="BS12" s="14">
        <v>0</v>
      </c>
      <c r="BT12" s="14">
        <v>0</v>
      </c>
      <c r="BU12" s="14">
        <v>0</v>
      </c>
      <c r="BV12" s="14">
        <v>0</v>
      </c>
      <c r="BW12" s="14">
        <v>0</v>
      </c>
      <c r="BX12" s="14">
        <v>0</v>
      </c>
      <c r="BY12" s="14"/>
      <c r="BZ12" s="14"/>
    </row>
    <row r="13" customFormat="1" ht="20.1" customHeight="1" spans="1:78">
      <c r="A13" s="1"/>
      <c r="B13" s="14"/>
      <c r="C13" s="15">
        <v>8</v>
      </c>
      <c r="D13" s="14" t="s">
        <v>178</v>
      </c>
      <c r="E13" s="14" t="s">
        <v>179</v>
      </c>
      <c r="F13" s="14">
        <v>1</v>
      </c>
      <c r="G13" s="14" t="s">
        <v>174</v>
      </c>
      <c r="H13" s="14">
        <v>0</v>
      </c>
      <c r="I13" s="14">
        <v>0</v>
      </c>
      <c r="J13" s="14">
        <v>1</v>
      </c>
      <c r="K13" s="14">
        <v>2</v>
      </c>
      <c r="L13" s="14">
        <v>0</v>
      </c>
      <c r="M13" s="14">
        <v>0</v>
      </c>
      <c r="N13" s="14">
        <v>0</v>
      </c>
      <c r="O13" s="14">
        <v>1</v>
      </c>
      <c r="P13" s="14">
        <v>0</v>
      </c>
      <c r="Q13" s="14">
        <v>0</v>
      </c>
      <c r="R13" s="14">
        <v>0</v>
      </c>
      <c r="S13" s="14">
        <v>0</v>
      </c>
      <c r="T13" s="14">
        <v>0</v>
      </c>
      <c r="U13" s="14">
        <v>1</v>
      </c>
      <c r="V13" s="14">
        <v>2</v>
      </c>
      <c r="W13" s="14">
        <v>0</v>
      </c>
      <c r="X13" s="14">
        <v>0</v>
      </c>
      <c r="Y13" s="14"/>
      <c r="Z13" s="14">
        <v>0</v>
      </c>
      <c r="AA13" s="14">
        <v>0</v>
      </c>
      <c r="AB13" s="14">
        <v>25</v>
      </c>
      <c r="AC13" s="14">
        <v>0</v>
      </c>
      <c r="AD13" s="14">
        <v>0</v>
      </c>
      <c r="AE13" s="14">
        <v>0</v>
      </c>
      <c r="AF13" s="14">
        <v>7</v>
      </c>
      <c r="AG13" s="14">
        <v>1</v>
      </c>
      <c r="AH13" s="14">
        <v>4</v>
      </c>
      <c r="AI13" s="14">
        <v>2</v>
      </c>
      <c r="AJ13" s="14">
        <v>1</v>
      </c>
      <c r="AK13" s="14">
        <v>0</v>
      </c>
      <c r="AL13" s="14">
        <v>8</v>
      </c>
      <c r="AM13" s="14">
        <v>0</v>
      </c>
      <c r="AN13" s="14">
        <v>0</v>
      </c>
      <c r="AO13" s="14">
        <v>0</v>
      </c>
      <c r="AP13" s="14">
        <v>0</v>
      </c>
      <c r="AQ13" s="14">
        <v>360000</v>
      </c>
      <c r="AR13" s="14">
        <v>0.5</v>
      </c>
      <c r="AS13" s="14">
        <v>0</v>
      </c>
      <c r="AT13" s="14">
        <v>0</v>
      </c>
      <c r="AU13" s="14" t="s">
        <v>155</v>
      </c>
      <c r="AV13" s="14"/>
      <c r="AW13" s="14" t="s">
        <v>175</v>
      </c>
      <c r="AX13" s="14"/>
      <c r="AY13" s="14" t="s">
        <v>157</v>
      </c>
      <c r="AZ13" s="14" t="s">
        <v>153</v>
      </c>
      <c r="BA13" s="14" t="s">
        <v>180</v>
      </c>
      <c r="BB13" s="14">
        <v>0</v>
      </c>
      <c r="BC13" s="14">
        <v>0</v>
      </c>
      <c r="BD13" s="14" t="s">
        <v>181</v>
      </c>
      <c r="BE13" s="14">
        <v>0</v>
      </c>
      <c r="BF13" s="14">
        <v>0</v>
      </c>
      <c r="BG13" s="14">
        <v>0</v>
      </c>
      <c r="BH13" s="14">
        <v>0</v>
      </c>
      <c r="BI13" s="14">
        <v>0</v>
      </c>
      <c r="BJ13" s="14">
        <v>0</v>
      </c>
      <c r="BK13" s="14">
        <v>0</v>
      </c>
      <c r="BL13" s="14">
        <v>0</v>
      </c>
      <c r="BM13" s="14">
        <v>0</v>
      </c>
      <c r="BN13" s="14">
        <v>0</v>
      </c>
      <c r="BO13" s="14">
        <v>0</v>
      </c>
      <c r="BP13" s="14">
        <v>0</v>
      </c>
      <c r="BQ13" s="14">
        <v>0</v>
      </c>
      <c r="BR13" s="14">
        <v>0</v>
      </c>
      <c r="BS13" s="14"/>
      <c r="BT13" s="14"/>
      <c r="BU13" s="14"/>
      <c r="BV13" s="14">
        <v>0</v>
      </c>
      <c r="BW13" s="14">
        <v>0</v>
      </c>
      <c r="BX13" s="14">
        <v>0</v>
      </c>
      <c r="BY13" s="14"/>
      <c r="BZ13" s="14"/>
    </row>
    <row r="14" customFormat="1" ht="20.1" customHeight="1" spans="1:78">
      <c r="A14" s="1"/>
      <c r="B14" s="14"/>
      <c r="C14" s="15">
        <v>9</v>
      </c>
      <c r="D14" s="14" t="s">
        <v>182</v>
      </c>
      <c r="E14" s="14" t="s">
        <v>183</v>
      </c>
      <c r="F14" s="14">
        <v>0</v>
      </c>
      <c r="G14" s="14" t="s">
        <v>174</v>
      </c>
      <c r="H14" s="14">
        <v>0</v>
      </c>
      <c r="I14" s="14">
        <v>4</v>
      </c>
      <c r="J14" s="14">
        <v>1</v>
      </c>
      <c r="K14" s="14">
        <v>5</v>
      </c>
      <c r="L14" s="14">
        <v>0</v>
      </c>
      <c r="M14" s="14">
        <v>0</v>
      </c>
      <c r="N14" s="14">
        <v>0</v>
      </c>
      <c r="O14" s="14">
        <v>1</v>
      </c>
      <c r="P14" s="14">
        <v>0</v>
      </c>
      <c r="Q14" s="14">
        <v>0</v>
      </c>
      <c r="R14" s="14">
        <v>0</v>
      </c>
      <c r="S14" s="14">
        <v>0</v>
      </c>
      <c r="T14" s="14">
        <v>0</v>
      </c>
      <c r="U14" s="14">
        <v>1</v>
      </c>
      <c r="V14" s="14">
        <v>2</v>
      </c>
      <c r="W14" s="14">
        <v>0</v>
      </c>
      <c r="X14" s="14">
        <v>1</v>
      </c>
      <c r="Y14" s="14"/>
      <c r="Z14" s="14">
        <v>500</v>
      </c>
      <c r="AA14" s="14">
        <v>0</v>
      </c>
      <c r="AB14" s="14">
        <v>0</v>
      </c>
      <c r="AC14" s="14">
        <v>0</v>
      </c>
      <c r="AD14" s="14">
        <v>0</v>
      </c>
      <c r="AE14" s="14">
        <v>0</v>
      </c>
      <c r="AF14" s="14">
        <v>7</v>
      </c>
      <c r="AG14" s="14">
        <v>1</v>
      </c>
      <c r="AH14" s="14">
        <v>3</v>
      </c>
      <c r="AI14" s="14">
        <v>2</v>
      </c>
      <c r="AJ14" s="14">
        <v>1</v>
      </c>
      <c r="AK14" s="14">
        <v>0</v>
      </c>
      <c r="AL14" s="14">
        <v>6</v>
      </c>
      <c r="AM14" s="14">
        <v>0</v>
      </c>
      <c r="AN14" s="14">
        <v>0</v>
      </c>
      <c r="AO14" s="14">
        <v>0</v>
      </c>
      <c r="AP14" s="14">
        <v>0.25</v>
      </c>
      <c r="AQ14" s="14">
        <v>6000</v>
      </c>
      <c r="AR14" s="14">
        <v>0.25</v>
      </c>
      <c r="AS14" s="14">
        <v>0</v>
      </c>
      <c r="AT14" s="14">
        <v>0</v>
      </c>
      <c r="AU14" s="14" t="s">
        <v>155</v>
      </c>
      <c r="AV14" s="14"/>
      <c r="AW14" s="14" t="s">
        <v>175</v>
      </c>
      <c r="AX14" s="14"/>
      <c r="AY14" s="14" t="s">
        <v>157</v>
      </c>
      <c r="AZ14" s="14" t="s">
        <v>153</v>
      </c>
      <c r="BA14" s="14">
        <v>1</v>
      </c>
      <c r="BB14" s="14">
        <v>0</v>
      </c>
      <c r="BC14" s="14">
        <v>0</v>
      </c>
      <c r="BD14" s="14" t="str">
        <f>"对目标区域释放法术,在此范围内的目标每秒造成"&amp;X14*100&amp;"%攻击伤害+"&amp;Z14&amp;"点固定伤害,持续6秒。"</f>
        <v>对目标区域释放法术,在此范围内的目标每秒造成100%攻击伤害+500点固定伤害,持续6秒。</v>
      </c>
      <c r="BE14" s="14">
        <v>0</v>
      </c>
      <c r="BF14" s="14">
        <v>0</v>
      </c>
      <c r="BG14" s="14">
        <v>0</v>
      </c>
      <c r="BH14" s="14">
        <v>0</v>
      </c>
      <c r="BI14" s="14">
        <v>0</v>
      </c>
      <c r="BJ14" s="14">
        <v>0</v>
      </c>
      <c r="BK14" s="14">
        <v>0</v>
      </c>
      <c r="BL14" s="14">
        <v>0</v>
      </c>
      <c r="BM14" s="14">
        <v>0</v>
      </c>
      <c r="BN14" s="14">
        <v>0</v>
      </c>
      <c r="BO14" s="14">
        <v>0</v>
      </c>
      <c r="BP14" s="14">
        <v>0</v>
      </c>
      <c r="BQ14" s="14">
        <v>0</v>
      </c>
      <c r="BR14" s="14">
        <v>0</v>
      </c>
      <c r="BS14" s="14"/>
      <c r="BT14" s="14"/>
      <c r="BU14" s="14"/>
      <c r="BV14" s="14">
        <v>0</v>
      </c>
      <c r="BW14" s="14">
        <v>0</v>
      </c>
      <c r="BX14" s="14">
        <v>0</v>
      </c>
      <c r="BY14" s="14"/>
      <c r="BZ14" s="14"/>
    </row>
    <row r="15" customFormat="1" ht="20.1" customHeight="1" spans="1:78">
      <c r="A15" s="1"/>
      <c r="B15" s="14"/>
      <c r="C15" s="15">
        <v>10</v>
      </c>
      <c r="D15" s="14" t="s">
        <v>184</v>
      </c>
      <c r="E15" s="14" t="s">
        <v>185</v>
      </c>
      <c r="F15" s="14">
        <v>1</v>
      </c>
      <c r="G15" s="14" t="s">
        <v>174</v>
      </c>
      <c r="H15" s="14">
        <v>0</v>
      </c>
      <c r="I15" s="14">
        <v>0</v>
      </c>
      <c r="J15" s="14">
        <v>1</v>
      </c>
      <c r="K15" s="14">
        <v>3</v>
      </c>
      <c r="L15" s="14">
        <v>0</v>
      </c>
      <c r="M15" s="14">
        <v>0</v>
      </c>
      <c r="N15" s="14">
        <v>0</v>
      </c>
      <c r="O15" s="14">
        <v>1</v>
      </c>
      <c r="P15" s="14">
        <v>0</v>
      </c>
      <c r="Q15" s="14">
        <v>0</v>
      </c>
      <c r="R15" s="14">
        <v>0</v>
      </c>
      <c r="S15" s="14">
        <v>0</v>
      </c>
      <c r="T15" s="14" t="s">
        <v>155</v>
      </c>
      <c r="U15" s="14">
        <v>0</v>
      </c>
      <c r="V15" s="14">
        <v>1</v>
      </c>
      <c r="W15" s="14">
        <v>0</v>
      </c>
      <c r="X15" s="14">
        <v>1</v>
      </c>
      <c r="Y15" s="14"/>
      <c r="Z15" s="14">
        <v>0</v>
      </c>
      <c r="AA15" s="14">
        <v>0</v>
      </c>
      <c r="AB15" s="14">
        <v>0</v>
      </c>
      <c r="AC15" s="14">
        <v>0</v>
      </c>
      <c r="AD15" s="14">
        <v>1</v>
      </c>
      <c r="AE15" s="14">
        <v>0</v>
      </c>
      <c r="AF15" s="14">
        <v>1</v>
      </c>
      <c r="AG15" s="14">
        <v>0</v>
      </c>
      <c r="AH15" s="14">
        <v>3</v>
      </c>
      <c r="AI15" s="14">
        <v>7</v>
      </c>
      <c r="AJ15" s="14">
        <v>0</v>
      </c>
      <c r="AK15" s="14">
        <v>0</v>
      </c>
      <c r="AL15" s="14">
        <v>9</v>
      </c>
      <c r="AM15" s="14">
        <v>0</v>
      </c>
      <c r="AN15" s="14">
        <v>0</v>
      </c>
      <c r="AO15" s="14">
        <v>0</v>
      </c>
      <c r="AP15" s="14">
        <v>0</v>
      </c>
      <c r="AQ15" s="14">
        <v>10000</v>
      </c>
      <c r="AR15" s="14">
        <v>0.2</v>
      </c>
      <c r="AS15" s="14">
        <v>20</v>
      </c>
      <c r="AT15" s="14">
        <v>0</v>
      </c>
      <c r="AU15" s="14" t="s">
        <v>155</v>
      </c>
      <c r="AV15" s="14"/>
      <c r="AW15" s="14" t="s">
        <v>186</v>
      </c>
      <c r="AX15" s="14"/>
      <c r="AY15" s="14" t="s">
        <v>157</v>
      </c>
      <c r="AZ15" s="14" t="s">
        <v>153</v>
      </c>
      <c r="BA15" s="14" t="s">
        <v>155</v>
      </c>
      <c r="BB15" s="14">
        <v>0</v>
      </c>
      <c r="BC15" s="14">
        <v>0</v>
      </c>
      <c r="BD15" s="14" t="s">
        <v>187</v>
      </c>
      <c r="BE15" s="14">
        <v>0</v>
      </c>
      <c r="BF15" s="14">
        <v>0</v>
      </c>
      <c r="BG15" s="14">
        <v>0</v>
      </c>
      <c r="BH15" s="14">
        <v>0</v>
      </c>
      <c r="BI15" s="14">
        <v>0</v>
      </c>
      <c r="BJ15" s="14">
        <v>0</v>
      </c>
      <c r="BK15" s="14">
        <v>0</v>
      </c>
      <c r="BL15" s="14">
        <v>0</v>
      </c>
      <c r="BM15" s="14">
        <v>0</v>
      </c>
      <c r="BN15" s="14">
        <v>0</v>
      </c>
      <c r="BO15" s="14">
        <v>0</v>
      </c>
      <c r="BP15" s="14">
        <v>0</v>
      </c>
      <c r="BQ15" s="14">
        <v>0</v>
      </c>
      <c r="BR15" s="14">
        <v>0</v>
      </c>
      <c r="BS15" s="14"/>
      <c r="BT15" s="14"/>
      <c r="BU15" s="14"/>
      <c r="BV15" s="14">
        <v>0</v>
      </c>
      <c r="BW15" s="14">
        <v>0</v>
      </c>
      <c r="BX15" s="14">
        <v>0</v>
      </c>
      <c r="BY15" s="14"/>
      <c r="BZ15" s="14"/>
    </row>
    <row r="16" customFormat="1" ht="20.1" customHeight="1" spans="1:78">
      <c r="A16" s="1"/>
      <c r="B16" s="14"/>
      <c r="C16" s="15">
        <v>11</v>
      </c>
      <c r="D16" s="14" t="s">
        <v>188</v>
      </c>
      <c r="E16" s="14" t="s">
        <v>189</v>
      </c>
      <c r="F16" s="14">
        <v>0</v>
      </c>
      <c r="G16" s="14" t="s">
        <v>174</v>
      </c>
      <c r="H16" s="14">
        <v>0</v>
      </c>
      <c r="I16" s="14">
        <v>0</v>
      </c>
      <c r="J16" s="14">
        <v>25</v>
      </c>
      <c r="K16" s="14">
        <v>5</v>
      </c>
      <c r="L16" s="14">
        <v>0</v>
      </c>
      <c r="M16" s="14">
        <v>0</v>
      </c>
      <c r="N16" s="14">
        <v>0</v>
      </c>
      <c r="O16" s="14">
        <v>1</v>
      </c>
      <c r="P16" s="14">
        <v>0</v>
      </c>
      <c r="Q16" s="14">
        <v>0</v>
      </c>
      <c r="R16" s="14">
        <v>0</v>
      </c>
      <c r="S16" s="14">
        <v>0</v>
      </c>
      <c r="T16" s="14">
        <v>0</v>
      </c>
      <c r="U16" s="14">
        <v>1</v>
      </c>
      <c r="V16" s="14">
        <v>2</v>
      </c>
      <c r="W16" s="14">
        <v>0</v>
      </c>
      <c r="X16" s="14">
        <v>3</v>
      </c>
      <c r="Y16" s="14"/>
      <c r="Z16" s="14">
        <v>900</v>
      </c>
      <c r="AA16" s="14">
        <v>0</v>
      </c>
      <c r="AB16" s="14">
        <v>0</v>
      </c>
      <c r="AC16" s="14">
        <v>0</v>
      </c>
      <c r="AD16" s="14">
        <v>0</v>
      </c>
      <c r="AE16" s="14">
        <v>0</v>
      </c>
      <c r="AF16" s="14">
        <v>7</v>
      </c>
      <c r="AG16" s="14">
        <v>1</v>
      </c>
      <c r="AH16" s="14">
        <v>2.5</v>
      </c>
      <c r="AI16" s="14">
        <v>2</v>
      </c>
      <c r="AJ16" s="14">
        <v>2</v>
      </c>
      <c r="AK16" s="14">
        <v>0</v>
      </c>
      <c r="AL16" s="14">
        <v>3</v>
      </c>
      <c r="AM16" s="14">
        <v>0</v>
      </c>
      <c r="AN16" s="14">
        <v>0</v>
      </c>
      <c r="AO16" s="14">
        <v>0</v>
      </c>
      <c r="AP16" s="14">
        <v>0.25</v>
      </c>
      <c r="AQ16" s="14">
        <v>9000</v>
      </c>
      <c r="AR16" s="14">
        <v>0.25</v>
      </c>
      <c r="AS16" s="14">
        <v>3</v>
      </c>
      <c r="AT16" s="14">
        <v>0</v>
      </c>
      <c r="AU16" s="14"/>
      <c r="AV16" s="14"/>
      <c r="AW16" s="14" t="s">
        <v>190</v>
      </c>
      <c r="AX16" s="14"/>
      <c r="AY16" s="14" t="s">
        <v>157</v>
      </c>
      <c r="AZ16" s="14" t="s">
        <v>153</v>
      </c>
      <c r="BA16" s="14">
        <v>0</v>
      </c>
      <c r="BB16" s="14">
        <v>0</v>
      </c>
      <c r="BC16" s="14">
        <v>0</v>
      </c>
      <c r="BD16" s="14" t="str">
        <f>"向前方发射一颗移动缓慢的法球,球体每秒对附近玩家造成"&amp;X16*100&amp;"%伤害+"&amp;Z16&amp;"点固定伤害,并产生3秒禁锢效果,技能持续为15秒,移动过程中每秒对范围额外附加100%伤害+"&amp;BP16&amp;"点伤害。"</f>
        <v>向前方发射一颗移动缓慢的法球,球体每秒对附近玩家造成300%伤害+900点固定伤害,并产生3秒禁锢效果,技能持续为15秒,移动过程中每秒对范围额外附加100%伤害+0点伤害。</v>
      </c>
      <c r="BE16" s="14">
        <v>0</v>
      </c>
      <c r="BF16" s="14">
        <v>0</v>
      </c>
      <c r="BG16" s="14">
        <v>0</v>
      </c>
      <c r="BH16" s="14">
        <v>0</v>
      </c>
      <c r="BI16" s="14">
        <v>0</v>
      </c>
      <c r="BJ16" s="14">
        <v>0</v>
      </c>
      <c r="BK16" s="14">
        <v>0</v>
      </c>
      <c r="BL16" s="14">
        <v>0</v>
      </c>
      <c r="BM16" s="14">
        <v>0</v>
      </c>
      <c r="BN16" s="14">
        <v>0</v>
      </c>
      <c r="BO16" s="14">
        <v>1</v>
      </c>
      <c r="BP16" s="14">
        <v>0</v>
      </c>
      <c r="BQ16" s="14">
        <v>0</v>
      </c>
      <c r="BR16" s="14">
        <v>0</v>
      </c>
      <c r="BS16" s="14"/>
      <c r="BT16" s="14"/>
      <c r="BU16" s="14"/>
      <c r="BV16" s="14">
        <v>0</v>
      </c>
      <c r="BW16" s="14">
        <v>1</v>
      </c>
      <c r="BX16" s="14">
        <v>1</v>
      </c>
      <c r="BY16" s="14"/>
      <c r="BZ16" s="14"/>
    </row>
    <row r="17" customFormat="1" ht="20.1" customHeight="1" spans="1:78">
      <c r="A17" s="1"/>
      <c r="B17" s="14"/>
      <c r="C17" s="15">
        <v>12</v>
      </c>
      <c r="D17" s="14" t="s">
        <v>191</v>
      </c>
      <c r="E17" s="14" t="s">
        <v>192</v>
      </c>
      <c r="F17" s="14">
        <v>1</v>
      </c>
      <c r="G17" s="14" t="s">
        <v>174</v>
      </c>
      <c r="H17" s="14">
        <v>0</v>
      </c>
      <c r="I17" s="14">
        <v>0</v>
      </c>
      <c r="J17" s="14">
        <v>0</v>
      </c>
      <c r="K17" s="14">
        <v>0</v>
      </c>
      <c r="L17" s="14">
        <v>0</v>
      </c>
      <c r="M17" s="14">
        <v>0</v>
      </c>
      <c r="N17" s="14">
        <v>0</v>
      </c>
      <c r="O17" s="14">
        <v>1</v>
      </c>
      <c r="P17" s="14">
        <v>0</v>
      </c>
      <c r="Q17" s="14">
        <v>0</v>
      </c>
      <c r="R17" s="14">
        <v>0</v>
      </c>
      <c r="S17" s="14">
        <v>0</v>
      </c>
      <c r="T17" s="14">
        <v>0</v>
      </c>
      <c r="U17" s="14">
        <v>1</v>
      </c>
      <c r="V17" s="14">
        <v>2</v>
      </c>
      <c r="W17" s="14">
        <v>0</v>
      </c>
      <c r="X17" s="14">
        <v>0.75</v>
      </c>
      <c r="Y17" s="14"/>
      <c r="Z17" s="14">
        <v>0</v>
      </c>
      <c r="AA17" s="14">
        <v>0</v>
      </c>
      <c r="AB17" s="14">
        <v>0</v>
      </c>
      <c r="AC17" s="14">
        <v>0</v>
      </c>
      <c r="AD17" s="14">
        <v>0</v>
      </c>
      <c r="AE17" s="14">
        <v>0</v>
      </c>
      <c r="AF17" s="14">
        <v>12</v>
      </c>
      <c r="AG17" s="14">
        <v>1</v>
      </c>
      <c r="AH17" s="14">
        <v>2</v>
      </c>
      <c r="AI17" s="14">
        <v>2</v>
      </c>
      <c r="AJ17" s="14">
        <v>0</v>
      </c>
      <c r="AK17" s="14">
        <v>0</v>
      </c>
      <c r="AL17" s="14">
        <v>2</v>
      </c>
      <c r="AM17" s="14">
        <v>0</v>
      </c>
      <c r="AN17" s="14">
        <v>0</v>
      </c>
      <c r="AO17" s="14">
        <v>0</v>
      </c>
      <c r="AP17" s="14">
        <v>0.5</v>
      </c>
      <c r="AQ17" s="14">
        <v>5000</v>
      </c>
      <c r="AR17" s="14">
        <v>0.5</v>
      </c>
      <c r="AS17" s="14">
        <v>100</v>
      </c>
      <c r="AT17" s="14">
        <v>0</v>
      </c>
      <c r="AU17" s="14"/>
      <c r="AV17" s="14"/>
      <c r="AW17" s="14" t="s">
        <v>175</v>
      </c>
      <c r="AX17" s="14"/>
      <c r="AY17" s="14" t="s">
        <v>157</v>
      </c>
      <c r="AZ17" s="14" t="s">
        <v>153</v>
      </c>
      <c r="BA17" s="14" t="s">
        <v>153</v>
      </c>
      <c r="BB17" s="14">
        <v>0</v>
      </c>
      <c r="BC17" s="14">
        <v>0</v>
      </c>
      <c r="BD17" s="14" t="s">
        <v>193</v>
      </c>
      <c r="BE17" s="14">
        <v>0</v>
      </c>
      <c r="BF17" s="14">
        <v>0</v>
      </c>
      <c r="BG17" s="14">
        <v>0</v>
      </c>
      <c r="BH17" s="14">
        <v>0</v>
      </c>
      <c r="BI17" s="14">
        <v>0</v>
      </c>
      <c r="BJ17" s="14">
        <v>0</v>
      </c>
      <c r="BK17" s="14">
        <v>0</v>
      </c>
      <c r="BL17" s="14">
        <v>0</v>
      </c>
      <c r="BM17" s="14">
        <v>0</v>
      </c>
      <c r="BN17" s="14">
        <v>0</v>
      </c>
      <c r="BO17" s="14">
        <v>0</v>
      </c>
      <c r="BP17" s="14">
        <v>0</v>
      </c>
      <c r="BQ17" s="14">
        <v>0</v>
      </c>
      <c r="BR17" s="14">
        <v>0</v>
      </c>
      <c r="BS17" s="14"/>
      <c r="BT17" s="14"/>
      <c r="BU17" s="14"/>
      <c r="BV17" s="14">
        <v>0</v>
      </c>
      <c r="BW17" s="14">
        <v>0</v>
      </c>
      <c r="BX17" s="14">
        <v>0</v>
      </c>
      <c r="BY17" s="14"/>
      <c r="BZ17" s="14"/>
    </row>
    <row r="18" customFormat="1" ht="20.1" customHeight="1" spans="1:78">
      <c r="A18" s="1"/>
      <c r="B18" s="14"/>
      <c r="C18" s="15">
        <v>13</v>
      </c>
      <c r="D18" s="14" t="s">
        <v>194</v>
      </c>
      <c r="E18" s="14" t="s">
        <v>195</v>
      </c>
      <c r="F18" s="14">
        <v>1</v>
      </c>
      <c r="G18" s="14" t="s">
        <v>174</v>
      </c>
      <c r="H18" s="14">
        <v>0</v>
      </c>
      <c r="I18" s="14">
        <v>0</v>
      </c>
      <c r="J18" s="14">
        <v>1</v>
      </c>
      <c r="K18" s="14">
        <v>0</v>
      </c>
      <c r="L18" s="14">
        <v>0</v>
      </c>
      <c r="M18" s="14">
        <v>0</v>
      </c>
      <c r="N18" s="14">
        <v>0</v>
      </c>
      <c r="O18" s="14">
        <v>1</v>
      </c>
      <c r="P18" s="14">
        <v>0</v>
      </c>
      <c r="Q18" s="14">
        <v>0</v>
      </c>
      <c r="R18" s="14">
        <v>0</v>
      </c>
      <c r="S18" s="14">
        <v>0</v>
      </c>
      <c r="T18" s="14">
        <v>0</v>
      </c>
      <c r="U18" s="14">
        <v>1</v>
      </c>
      <c r="V18" s="14">
        <v>1</v>
      </c>
      <c r="W18" s="14">
        <v>0</v>
      </c>
      <c r="X18" s="14">
        <v>2</v>
      </c>
      <c r="Y18" s="14"/>
      <c r="Z18" s="14">
        <v>750</v>
      </c>
      <c r="AA18" s="14">
        <v>0</v>
      </c>
      <c r="AB18" s="14">
        <v>0</v>
      </c>
      <c r="AC18" s="14">
        <v>0</v>
      </c>
      <c r="AD18" s="14">
        <v>0</v>
      </c>
      <c r="AE18" s="14">
        <v>0</v>
      </c>
      <c r="AF18" s="14">
        <v>7</v>
      </c>
      <c r="AG18" s="14">
        <v>1</v>
      </c>
      <c r="AH18" s="14">
        <v>2</v>
      </c>
      <c r="AI18" s="14">
        <v>2</v>
      </c>
      <c r="AJ18" s="14">
        <v>2</v>
      </c>
      <c r="AK18" s="14">
        <v>0</v>
      </c>
      <c r="AL18" s="14">
        <v>2</v>
      </c>
      <c r="AM18" s="14">
        <v>0</v>
      </c>
      <c r="AN18" s="14">
        <v>0</v>
      </c>
      <c r="AO18" s="14">
        <v>0</v>
      </c>
      <c r="AP18" s="14">
        <v>0.2</v>
      </c>
      <c r="AQ18" s="14">
        <v>2000</v>
      </c>
      <c r="AR18" s="14">
        <v>0.2</v>
      </c>
      <c r="AS18" s="14">
        <v>5</v>
      </c>
      <c r="AT18" s="14">
        <v>0</v>
      </c>
      <c r="AU18" s="14"/>
      <c r="AV18" s="14"/>
      <c r="AW18" s="14" t="s">
        <v>175</v>
      </c>
      <c r="AX18" s="14"/>
      <c r="AY18" s="14" t="s">
        <v>157</v>
      </c>
      <c r="AZ18" s="14" t="s">
        <v>153</v>
      </c>
      <c r="BA18" s="14" t="s">
        <v>196</v>
      </c>
      <c r="BB18" s="14">
        <v>0</v>
      </c>
      <c r="BC18" s="14">
        <v>0</v>
      </c>
      <c r="BD18" s="14" t="s">
        <v>197</v>
      </c>
      <c r="BE18" s="14">
        <v>0</v>
      </c>
      <c r="BF18" s="14">
        <v>0</v>
      </c>
      <c r="BG18" s="14">
        <v>0</v>
      </c>
      <c r="BH18" s="14">
        <v>0</v>
      </c>
      <c r="BI18" s="14">
        <v>0</v>
      </c>
      <c r="BJ18" s="14">
        <v>0</v>
      </c>
      <c r="BK18" s="14">
        <v>0</v>
      </c>
      <c r="BL18" s="14">
        <v>0</v>
      </c>
      <c r="BM18" s="14">
        <v>0</v>
      </c>
      <c r="BN18" s="14">
        <v>0</v>
      </c>
      <c r="BO18" s="14">
        <v>0</v>
      </c>
      <c r="BP18" s="14">
        <v>0</v>
      </c>
      <c r="BQ18" s="14">
        <v>0</v>
      </c>
      <c r="BR18" s="14">
        <v>0</v>
      </c>
      <c r="BS18" s="14"/>
      <c r="BT18" s="14"/>
      <c r="BU18" s="14"/>
      <c r="BV18" s="14">
        <v>0</v>
      </c>
      <c r="BW18" s="14">
        <v>0</v>
      </c>
      <c r="BX18" s="14">
        <v>0</v>
      </c>
      <c r="BY18" s="14"/>
      <c r="BZ18" s="14"/>
    </row>
    <row r="19" customFormat="1" ht="20.1" customHeight="1" spans="1:78">
      <c r="A19" s="1"/>
      <c r="B19" s="14"/>
      <c r="C19" s="15">
        <v>14</v>
      </c>
      <c r="D19" s="14" t="s">
        <v>198</v>
      </c>
      <c r="E19" s="14" t="s">
        <v>199</v>
      </c>
      <c r="F19" s="14">
        <v>1</v>
      </c>
      <c r="G19" s="14" t="s">
        <v>174</v>
      </c>
      <c r="H19" s="14">
        <v>0</v>
      </c>
      <c r="I19" s="14">
        <v>0</v>
      </c>
      <c r="J19" s="14">
        <v>5</v>
      </c>
      <c r="K19" s="14">
        <v>0</v>
      </c>
      <c r="L19" s="14">
        <v>0</v>
      </c>
      <c r="M19" s="14">
        <v>0</v>
      </c>
      <c r="N19" s="14">
        <v>0</v>
      </c>
      <c r="O19" s="14">
        <v>1</v>
      </c>
      <c r="P19" s="14">
        <v>0</v>
      </c>
      <c r="Q19" s="14">
        <v>0</v>
      </c>
      <c r="R19" s="14">
        <v>0</v>
      </c>
      <c r="S19" s="14">
        <v>0</v>
      </c>
      <c r="T19" s="14">
        <v>0</v>
      </c>
      <c r="U19" s="14">
        <v>1</v>
      </c>
      <c r="V19" s="14">
        <v>1</v>
      </c>
      <c r="W19" s="14">
        <v>0</v>
      </c>
      <c r="X19" s="14">
        <v>2</v>
      </c>
      <c r="Y19" s="14"/>
      <c r="Z19" s="14">
        <v>750</v>
      </c>
      <c r="AA19" s="14">
        <v>0</v>
      </c>
      <c r="AB19" s="14">
        <v>0</v>
      </c>
      <c r="AC19" s="14">
        <v>0</v>
      </c>
      <c r="AD19" s="14">
        <v>0</v>
      </c>
      <c r="AE19" s="14">
        <v>0</v>
      </c>
      <c r="AF19" s="14">
        <v>12</v>
      </c>
      <c r="AG19" s="14">
        <v>1</v>
      </c>
      <c r="AH19" s="14">
        <v>2</v>
      </c>
      <c r="AI19" s="14">
        <v>2</v>
      </c>
      <c r="AJ19" s="14">
        <v>2</v>
      </c>
      <c r="AK19" s="14">
        <v>0</v>
      </c>
      <c r="AL19" s="14">
        <v>3</v>
      </c>
      <c r="AM19" s="14">
        <v>0</v>
      </c>
      <c r="AN19" s="14">
        <v>0</v>
      </c>
      <c r="AO19" s="14">
        <v>0</v>
      </c>
      <c r="AP19" s="14">
        <v>0.2</v>
      </c>
      <c r="AQ19" s="14">
        <v>6000</v>
      </c>
      <c r="AR19" s="14">
        <v>0.2</v>
      </c>
      <c r="AS19" s="14">
        <v>8</v>
      </c>
      <c r="AT19" s="14">
        <v>0</v>
      </c>
      <c r="AU19" s="14"/>
      <c r="AV19" s="14"/>
      <c r="AW19" s="14" t="s">
        <v>175</v>
      </c>
      <c r="AX19" s="14"/>
      <c r="AY19" s="14" t="s">
        <v>157</v>
      </c>
      <c r="AZ19" s="14" t="s">
        <v>153</v>
      </c>
      <c r="BA19" s="14" t="s">
        <v>200</v>
      </c>
      <c r="BB19" s="14">
        <v>0</v>
      </c>
      <c r="BC19" s="14">
        <v>0</v>
      </c>
      <c r="BD19" s="14" t="s">
        <v>201</v>
      </c>
      <c r="BE19" s="14">
        <v>0</v>
      </c>
      <c r="BF19" s="14">
        <v>0</v>
      </c>
      <c r="BG19" s="14">
        <v>0</v>
      </c>
      <c r="BH19" s="14">
        <v>0</v>
      </c>
      <c r="BI19" s="14">
        <v>0</v>
      </c>
      <c r="BJ19" s="14">
        <v>0</v>
      </c>
      <c r="BK19" s="14">
        <v>0</v>
      </c>
      <c r="BL19" s="14">
        <v>0</v>
      </c>
      <c r="BM19" s="14">
        <v>0</v>
      </c>
      <c r="BN19" s="14">
        <v>1</v>
      </c>
      <c r="BO19" s="14">
        <v>1</v>
      </c>
      <c r="BP19" s="14">
        <v>0</v>
      </c>
      <c r="BQ19" s="14">
        <v>0</v>
      </c>
      <c r="BR19" s="14">
        <v>0</v>
      </c>
      <c r="BS19" s="14"/>
      <c r="BT19" s="14"/>
      <c r="BU19" s="14"/>
      <c r="BV19" s="14">
        <v>1</v>
      </c>
      <c r="BW19" s="14">
        <v>1</v>
      </c>
      <c r="BX19" s="14">
        <v>1</v>
      </c>
      <c r="BY19" s="14"/>
      <c r="BZ19" s="14"/>
    </row>
    <row r="20" customFormat="1" ht="20.1" customHeight="1" spans="1:78">
      <c r="A20" s="1"/>
      <c r="B20" s="14"/>
      <c r="C20" s="15">
        <v>15</v>
      </c>
      <c r="D20" s="14" t="s">
        <v>202</v>
      </c>
      <c r="E20" s="14" t="s">
        <v>203</v>
      </c>
      <c r="F20" s="14">
        <v>1</v>
      </c>
      <c r="G20" s="14" t="s">
        <v>174</v>
      </c>
      <c r="H20" s="14">
        <v>0</v>
      </c>
      <c r="I20" s="14">
        <v>0</v>
      </c>
      <c r="J20" s="14">
        <v>0</v>
      </c>
      <c r="K20" s="14">
        <v>0</v>
      </c>
      <c r="L20" s="14">
        <v>0</v>
      </c>
      <c r="M20" s="14">
        <v>0</v>
      </c>
      <c r="N20" s="14">
        <v>0</v>
      </c>
      <c r="O20" s="14">
        <v>1</v>
      </c>
      <c r="P20" s="14">
        <v>0</v>
      </c>
      <c r="Q20" s="14">
        <v>0</v>
      </c>
      <c r="R20" s="14">
        <v>0</v>
      </c>
      <c r="S20" s="14">
        <v>0</v>
      </c>
      <c r="T20" s="14">
        <v>0</v>
      </c>
      <c r="U20" s="14">
        <v>1</v>
      </c>
      <c r="V20" s="14">
        <v>2</v>
      </c>
      <c r="W20" s="14">
        <v>0</v>
      </c>
      <c r="X20" s="14">
        <v>1.2</v>
      </c>
      <c r="Y20" s="14"/>
      <c r="Z20" s="14">
        <v>0</v>
      </c>
      <c r="AA20" s="14">
        <v>0</v>
      </c>
      <c r="AB20" s="14">
        <v>0</v>
      </c>
      <c r="AC20" s="14">
        <v>0</v>
      </c>
      <c r="AD20" s="14">
        <v>0</v>
      </c>
      <c r="AE20" s="14">
        <v>0</v>
      </c>
      <c r="AF20" s="14">
        <v>1</v>
      </c>
      <c r="AG20" s="14">
        <v>1</v>
      </c>
      <c r="AH20" s="14">
        <v>3</v>
      </c>
      <c r="AI20" s="14">
        <v>1</v>
      </c>
      <c r="AJ20" s="14">
        <v>0</v>
      </c>
      <c r="AK20" s="14">
        <v>0</v>
      </c>
      <c r="AL20" s="14">
        <v>6</v>
      </c>
      <c r="AM20" s="14">
        <v>0</v>
      </c>
      <c r="AN20" s="14">
        <v>0</v>
      </c>
      <c r="AO20" s="14">
        <v>0</v>
      </c>
      <c r="AP20" s="14">
        <v>0.5</v>
      </c>
      <c r="AQ20" s="14">
        <v>5000</v>
      </c>
      <c r="AR20" s="14">
        <v>0</v>
      </c>
      <c r="AS20" s="14">
        <v>0</v>
      </c>
      <c r="AT20" s="14">
        <v>0</v>
      </c>
      <c r="AU20" s="14"/>
      <c r="AV20" s="14"/>
      <c r="AW20" s="14" t="s">
        <v>175</v>
      </c>
      <c r="AX20" s="14"/>
      <c r="AY20" s="14" t="s">
        <v>157</v>
      </c>
      <c r="AZ20" s="14" t="s">
        <v>153</v>
      </c>
      <c r="BA20" s="14">
        <v>0</v>
      </c>
      <c r="BB20" s="14">
        <v>0</v>
      </c>
      <c r="BC20" s="14">
        <v>0</v>
      </c>
      <c r="BD20" s="14" t="s">
        <v>204</v>
      </c>
      <c r="BE20" s="14">
        <v>0</v>
      </c>
      <c r="BF20" s="14">
        <v>0</v>
      </c>
      <c r="BG20" s="14">
        <v>0</v>
      </c>
      <c r="BH20" s="14">
        <v>0</v>
      </c>
      <c r="BI20" s="14">
        <v>0</v>
      </c>
      <c r="BJ20" s="14">
        <v>0</v>
      </c>
      <c r="BK20" s="14">
        <v>0</v>
      </c>
      <c r="BL20" s="14">
        <v>0</v>
      </c>
      <c r="BM20" s="14">
        <v>0</v>
      </c>
      <c r="BN20" s="14">
        <v>0</v>
      </c>
      <c r="BO20" s="14">
        <v>0</v>
      </c>
      <c r="BP20" s="14">
        <v>0</v>
      </c>
      <c r="BQ20" s="14">
        <v>0</v>
      </c>
      <c r="BR20" s="14">
        <v>0</v>
      </c>
      <c r="BS20" s="14"/>
      <c r="BT20" s="14"/>
      <c r="BU20" s="14"/>
      <c r="BV20" s="14">
        <v>0</v>
      </c>
      <c r="BW20" s="14">
        <v>0</v>
      </c>
      <c r="BX20" s="14">
        <v>0</v>
      </c>
      <c r="BY20" s="14"/>
      <c r="BZ20" s="14"/>
    </row>
    <row r="21" customFormat="1" ht="20.1" customHeight="1" spans="1:78">
      <c r="A21" s="1"/>
      <c r="B21" s="14"/>
      <c r="C21" s="15">
        <v>16</v>
      </c>
      <c r="D21" s="14" t="s">
        <v>205</v>
      </c>
      <c r="E21" s="14" t="s">
        <v>206</v>
      </c>
      <c r="F21" s="14">
        <v>0</v>
      </c>
      <c r="G21" s="14" t="s">
        <v>174</v>
      </c>
      <c r="H21" s="14">
        <v>0</v>
      </c>
      <c r="I21" s="14">
        <v>0</v>
      </c>
      <c r="J21" s="14">
        <v>20</v>
      </c>
      <c r="K21" s="14">
        <v>5</v>
      </c>
      <c r="L21" s="14">
        <v>0</v>
      </c>
      <c r="M21" s="14">
        <v>0</v>
      </c>
      <c r="N21" s="14">
        <v>0</v>
      </c>
      <c r="O21" s="14">
        <v>1</v>
      </c>
      <c r="P21" s="14">
        <v>0</v>
      </c>
      <c r="Q21" s="14">
        <v>0</v>
      </c>
      <c r="R21" s="14">
        <v>0</v>
      </c>
      <c r="S21" s="14">
        <v>0</v>
      </c>
      <c r="T21" s="14">
        <v>0</v>
      </c>
      <c r="U21" s="14">
        <v>1</v>
      </c>
      <c r="V21" s="14">
        <v>2</v>
      </c>
      <c r="W21" s="14">
        <v>0</v>
      </c>
      <c r="X21" s="14">
        <v>2.5</v>
      </c>
      <c r="Y21" s="14"/>
      <c r="Z21" s="14">
        <v>1500</v>
      </c>
      <c r="AA21" s="14">
        <v>0</v>
      </c>
      <c r="AB21" s="14">
        <v>0</v>
      </c>
      <c r="AC21" s="14">
        <v>0</v>
      </c>
      <c r="AD21" s="14">
        <v>0</v>
      </c>
      <c r="AE21" s="14">
        <v>0</v>
      </c>
      <c r="AF21" s="14">
        <v>9</v>
      </c>
      <c r="AG21" s="14">
        <v>1</v>
      </c>
      <c r="AH21" s="14">
        <v>3.5</v>
      </c>
      <c r="AI21" s="14">
        <v>0</v>
      </c>
      <c r="AJ21" s="14">
        <v>0</v>
      </c>
      <c r="AK21" s="14">
        <v>0</v>
      </c>
      <c r="AL21" s="14">
        <v>3</v>
      </c>
      <c r="AM21" s="14">
        <v>0</v>
      </c>
      <c r="AN21" s="14">
        <v>0</v>
      </c>
      <c r="AO21" s="14">
        <v>0</v>
      </c>
      <c r="AP21" s="14">
        <v>0.3</v>
      </c>
      <c r="AQ21" s="14">
        <v>3000</v>
      </c>
      <c r="AR21" s="14">
        <v>0.5</v>
      </c>
      <c r="AS21" s="14">
        <v>0</v>
      </c>
      <c r="AT21" s="14">
        <v>0</v>
      </c>
      <c r="AU21" s="14"/>
      <c r="AV21" s="14"/>
      <c r="AW21" s="14" t="s">
        <v>207</v>
      </c>
      <c r="AX21" s="14"/>
      <c r="AY21" s="14" t="s">
        <v>157</v>
      </c>
      <c r="AZ21" s="14" t="s">
        <v>153</v>
      </c>
      <c r="BA21" s="14">
        <v>0</v>
      </c>
      <c r="BB21" s="14">
        <v>0</v>
      </c>
      <c r="BC21" s="14">
        <v>0</v>
      </c>
      <c r="BD21" s="14" t="str">
        <f>"立即对目标范围内的怪物造成"&amp;X21*100&amp;"%攻击伤害+"&amp;Z21&amp;"点固定伤害,并附带1秒眩晕效果"</f>
        <v>立即对目标范围内的怪物造成250%攻击伤害+1500点固定伤害,并附带1秒眩晕效果</v>
      </c>
      <c r="BE21" s="14">
        <v>0</v>
      </c>
      <c r="BF21" s="14">
        <v>0</v>
      </c>
      <c r="BG21" s="14">
        <v>0</v>
      </c>
      <c r="BH21" s="14">
        <v>0</v>
      </c>
      <c r="BI21" s="14">
        <v>0</v>
      </c>
      <c r="BJ21" s="14">
        <v>0</v>
      </c>
      <c r="BK21" s="14">
        <v>0</v>
      </c>
      <c r="BL21" s="14">
        <v>1</v>
      </c>
      <c r="BM21" s="14">
        <v>0</v>
      </c>
      <c r="BN21" s="14">
        <v>500</v>
      </c>
      <c r="BO21" s="14">
        <v>0</v>
      </c>
      <c r="BP21" s="14">
        <v>0</v>
      </c>
      <c r="BQ21" s="14">
        <v>0</v>
      </c>
      <c r="BR21" s="14">
        <v>0</v>
      </c>
      <c r="BS21" s="14"/>
      <c r="BT21" s="14"/>
      <c r="BU21" s="14"/>
      <c r="BV21" s="14">
        <v>0</v>
      </c>
      <c r="BW21" s="14">
        <v>0</v>
      </c>
      <c r="BX21" s="14">
        <v>0</v>
      </c>
      <c r="BY21" s="14"/>
      <c r="BZ21" s="14"/>
    </row>
    <row r="22" customFormat="1" ht="20.1" customHeight="1" spans="1:78">
      <c r="A22" s="1"/>
      <c r="B22" s="14"/>
      <c r="C22" s="15">
        <v>17</v>
      </c>
      <c r="D22" s="14" t="s">
        <v>208</v>
      </c>
      <c r="E22" s="14" t="s">
        <v>209</v>
      </c>
      <c r="F22" s="14">
        <v>1</v>
      </c>
      <c r="G22" s="14" t="s">
        <v>174</v>
      </c>
      <c r="H22" s="14">
        <v>0</v>
      </c>
      <c r="I22" s="14">
        <v>0</v>
      </c>
      <c r="J22" s="14">
        <v>60</v>
      </c>
      <c r="K22" s="14">
        <v>0</v>
      </c>
      <c r="L22" s="14">
        <v>0</v>
      </c>
      <c r="M22" s="14">
        <v>0</v>
      </c>
      <c r="N22" s="14">
        <v>0</v>
      </c>
      <c r="O22" s="14">
        <v>1</v>
      </c>
      <c r="P22" s="14">
        <v>0</v>
      </c>
      <c r="Q22" s="14">
        <v>0</v>
      </c>
      <c r="R22" s="14">
        <v>0</v>
      </c>
      <c r="S22" s="14">
        <v>0</v>
      </c>
      <c r="T22" s="14">
        <v>0</v>
      </c>
      <c r="U22" s="14">
        <v>1</v>
      </c>
      <c r="V22" s="14">
        <v>2</v>
      </c>
      <c r="W22" s="14">
        <v>0</v>
      </c>
      <c r="X22" s="14">
        <v>1.8</v>
      </c>
      <c r="Y22" s="14"/>
      <c r="Z22" s="14">
        <v>0</v>
      </c>
      <c r="AA22" s="14">
        <v>0</v>
      </c>
      <c r="AB22" s="14">
        <v>0</v>
      </c>
      <c r="AC22" s="14">
        <v>0</v>
      </c>
      <c r="AD22" s="14">
        <v>0</v>
      </c>
      <c r="AE22" s="14">
        <v>0</v>
      </c>
      <c r="AF22" s="14">
        <v>20</v>
      </c>
      <c r="AG22" s="14">
        <v>1</v>
      </c>
      <c r="AH22" s="14">
        <v>3</v>
      </c>
      <c r="AI22" s="14">
        <v>2</v>
      </c>
      <c r="AJ22" s="14">
        <v>1</v>
      </c>
      <c r="AK22" s="14">
        <v>0</v>
      </c>
      <c r="AL22" s="14">
        <v>6</v>
      </c>
      <c r="AM22" s="14">
        <v>0</v>
      </c>
      <c r="AN22" s="14">
        <v>0</v>
      </c>
      <c r="AO22" s="14">
        <v>0</v>
      </c>
      <c r="AP22" s="14">
        <v>0.25</v>
      </c>
      <c r="AQ22" s="14">
        <v>20000</v>
      </c>
      <c r="AR22" s="14">
        <v>0.25</v>
      </c>
      <c r="AS22" s="14">
        <v>2</v>
      </c>
      <c r="AT22" s="14">
        <v>0</v>
      </c>
      <c r="AU22" s="14"/>
      <c r="AV22" s="14"/>
      <c r="AW22" s="14" t="s">
        <v>175</v>
      </c>
      <c r="AX22" s="14"/>
      <c r="AY22" s="14" t="s">
        <v>157</v>
      </c>
      <c r="AZ22" s="14" t="s">
        <v>153</v>
      </c>
      <c r="BA22" s="14" t="s">
        <v>153</v>
      </c>
      <c r="BB22" s="14">
        <v>0</v>
      </c>
      <c r="BC22" s="14">
        <v>1</v>
      </c>
      <c r="BD22" s="14" t="s">
        <v>210</v>
      </c>
      <c r="BE22" s="14">
        <v>0</v>
      </c>
      <c r="BF22" s="14">
        <v>0</v>
      </c>
      <c r="BG22" s="14">
        <v>0</v>
      </c>
      <c r="BH22" s="14">
        <v>0</v>
      </c>
      <c r="BI22" s="14">
        <v>0</v>
      </c>
      <c r="BJ22" s="14">
        <v>0</v>
      </c>
      <c r="BK22" s="14">
        <v>0</v>
      </c>
      <c r="BL22" s="14">
        <v>0</v>
      </c>
      <c r="BM22" s="14">
        <v>0</v>
      </c>
      <c r="BN22" s="14">
        <v>0</v>
      </c>
      <c r="BO22" s="14">
        <v>0</v>
      </c>
      <c r="BP22" s="14">
        <v>0</v>
      </c>
      <c r="BQ22" s="14">
        <v>0</v>
      </c>
      <c r="BR22" s="14">
        <v>0</v>
      </c>
      <c r="BS22" s="14"/>
      <c r="BT22" s="14"/>
      <c r="BU22" s="14"/>
      <c r="BV22" s="14">
        <v>0</v>
      </c>
      <c r="BW22" s="14">
        <v>0</v>
      </c>
      <c r="BX22" s="14">
        <v>0</v>
      </c>
      <c r="BY22" s="14"/>
      <c r="BZ22" s="14"/>
    </row>
    <row r="23" customFormat="1" ht="20.1" customHeight="1" spans="1:78">
      <c r="A23" s="1"/>
      <c r="B23" s="14"/>
      <c r="C23" s="15">
        <v>18</v>
      </c>
      <c r="D23" s="14" t="s">
        <v>211</v>
      </c>
      <c r="E23" s="14" t="s">
        <v>212</v>
      </c>
      <c r="F23" s="14">
        <v>1</v>
      </c>
      <c r="G23" s="14" t="s">
        <v>174</v>
      </c>
      <c r="H23" s="14">
        <v>0</v>
      </c>
      <c r="I23" s="14">
        <v>0</v>
      </c>
      <c r="J23" s="14">
        <v>1</v>
      </c>
      <c r="K23" s="14">
        <v>0</v>
      </c>
      <c r="L23" s="14">
        <v>0</v>
      </c>
      <c r="M23" s="14">
        <v>0</v>
      </c>
      <c r="N23" s="14">
        <v>0</v>
      </c>
      <c r="O23" s="14">
        <v>2</v>
      </c>
      <c r="P23" s="14">
        <v>2</v>
      </c>
      <c r="Q23" s="14">
        <v>1</v>
      </c>
      <c r="R23" s="14">
        <v>0</v>
      </c>
      <c r="S23" s="14">
        <v>0</v>
      </c>
      <c r="T23" s="14">
        <v>0</v>
      </c>
      <c r="U23" s="14">
        <v>1</v>
      </c>
      <c r="V23" s="14">
        <v>2</v>
      </c>
      <c r="W23" s="14">
        <v>0</v>
      </c>
      <c r="X23" s="14">
        <v>0</v>
      </c>
      <c r="Y23" s="14"/>
      <c r="Z23" s="14">
        <v>0</v>
      </c>
      <c r="AA23" s="14">
        <v>0</v>
      </c>
      <c r="AB23" s="14">
        <v>0</v>
      </c>
      <c r="AC23" s="14">
        <v>0</v>
      </c>
      <c r="AD23" s="14">
        <v>1</v>
      </c>
      <c r="AE23" s="14">
        <v>0</v>
      </c>
      <c r="AF23" s="14">
        <v>60</v>
      </c>
      <c r="AG23" s="14">
        <v>1</v>
      </c>
      <c r="AH23" s="14">
        <v>10</v>
      </c>
      <c r="AI23" s="14">
        <v>0</v>
      </c>
      <c r="AJ23" s="14">
        <v>0</v>
      </c>
      <c r="AK23" s="14">
        <v>0</v>
      </c>
      <c r="AL23" s="14">
        <v>0</v>
      </c>
      <c r="AM23" s="14">
        <v>0</v>
      </c>
      <c r="AN23" s="14">
        <v>0</v>
      </c>
      <c r="AO23" s="14">
        <v>0</v>
      </c>
      <c r="AP23" s="14">
        <v>0</v>
      </c>
      <c r="AQ23" s="14">
        <v>50000</v>
      </c>
      <c r="AR23" s="14">
        <v>0</v>
      </c>
      <c r="AS23" s="14">
        <v>0</v>
      </c>
      <c r="AT23" s="14">
        <v>0</v>
      </c>
      <c r="AU23" s="14"/>
      <c r="AV23" s="14"/>
      <c r="AW23" s="14" t="s">
        <v>155</v>
      </c>
      <c r="AX23" s="14"/>
      <c r="AY23" s="14" t="s">
        <v>157</v>
      </c>
      <c r="AZ23" s="14" t="s">
        <v>153</v>
      </c>
      <c r="BA23" s="14">
        <v>0</v>
      </c>
      <c r="BB23" s="14">
        <v>0</v>
      </c>
      <c r="BC23" s="14">
        <v>0</v>
      </c>
      <c r="BD23" s="14" t="s">
        <v>213</v>
      </c>
      <c r="BE23" s="14">
        <v>0</v>
      </c>
      <c r="BF23" s="14">
        <v>0</v>
      </c>
      <c r="BG23" s="14">
        <v>0</v>
      </c>
      <c r="BH23" s="14">
        <v>0</v>
      </c>
      <c r="BI23" s="14">
        <v>0</v>
      </c>
      <c r="BJ23" s="14">
        <v>0</v>
      </c>
      <c r="BK23" s="14">
        <v>0</v>
      </c>
      <c r="BL23" s="14">
        <v>1</v>
      </c>
      <c r="BM23" s="14">
        <v>0</v>
      </c>
      <c r="BN23" s="14">
        <v>0</v>
      </c>
      <c r="BO23" s="14">
        <v>0</v>
      </c>
      <c r="BP23" s="14">
        <v>0</v>
      </c>
      <c r="BQ23" s="14">
        <v>0</v>
      </c>
      <c r="BR23" s="14">
        <v>0</v>
      </c>
      <c r="BS23" s="14"/>
      <c r="BT23" s="14"/>
      <c r="BU23" s="14"/>
      <c r="BV23" s="14">
        <v>0</v>
      </c>
      <c r="BW23" s="14">
        <v>0</v>
      </c>
      <c r="BX23" s="14">
        <v>0</v>
      </c>
      <c r="BY23" s="14"/>
      <c r="BZ23" s="14"/>
    </row>
    <row r="24" customFormat="1" ht="20.1" customHeight="1" spans="1:78">
      <c r="A24" s="1"/>
      <c r="B24" s="14"/>
      <c r="C24" s="15">
        <v>19</v>
      </c>
      <c r="D24" s="14" t="s">
        <v>214</v>
      </c>
      <c r="E24" s="14" t="s">
        <v>215</v>
      </c>
      <c r="F24" s="14">
        <v>1</v>
      </c>
      <c r="G24" s="14" t="s">
        <v>174</v>
      </c>
      <c r="H24" s="14">
        <v>0</v>
      </c>
      <c r="I24" s="14">
        <v>0</v>
      </c>
      <c r="J24" s="14">
        <v>1</v>
      </c>
      <c r="K24" s="14">
        <v>0</v>
      </c>
      <c r="L24" s="14">
        <v>0</v>
      </c>
      <c r="M24" s="14">
        <v>0</v>
      </c>
      <c r="N24" s="14">
        <v>0</v>
      </c>
      <c r="O24" s="14">
        <v>2</v>
      </c>
      <c r="P24" s="14">
        <v>12</v>
      </c>
      <c r="Q24" s="14">
        <v>1</v>
      </c>
      <c r="R24" s="14">
        <v>0</v>
      </c>
      <c r="S24" s="14">
        <v>0</v>
      </c>
      <c r="T24" s="14">
        <v>0</v>
      </c>
      <c r="U24" s="14">
        <v>1</v>
      </c>
      <c r="V24" s="14">
        <v>2</v>
      </c>
      <c r="W24" s="14">
        <v>0</v>
      </c>
      <c r="X24" s="14">
        <v>0</v>
      </c>
      <c r="Y24" s="14"/>
      <c r="Z24" s="14">
        <v>0</v>
      </c>
      <c r="AA24" s="14">
        <v>0</v>
      </c>
      <c r="AB24" s="14">
        <v>0</v>
      </c>
      <c r="AC24" s="14">
        <v>0</v>
      </c>
      <c r="AD24" s="14">
        <v>1</v>
      </c>
      <c r="AE24" s="14">
        <v>0</v>
      </c>
      <c r="AF24" s="14">
        <v>60</v>
      </c>
      <c r="AG24" s="14">
        <v>1</v>
      </c>
      <c r="AH24" s="14">
        <v>10</v>
      </c>
      <c r="AI24" s="14">
        <v>0</v>
      </c>
      <c r="AJ24" s="14">
        <v>0</v>
      </c>
      <c r="AK24" s="14">
        <v>0</v>
      </c>
      <c r="AL24" s="14">
        <v>0</v>
      </c>
      <c r="AM24" s="14">
        <v>0</v>
      </c>
      <c r="AN24" s="14">
        <v>0</v>
      </c>
      <c r="AO24" s="14">
        <v>0</v>
      </c>
      <c r="AP24" s="14">
        <v>1</v>
      </c>
      <c r="AQ24" s="14">
        <v>50000</v>
      </c>
      <c r="AR24" s="14">
        <v>0</v>
      </c>
      <c r="AS24" s="14">
        <v>0</v>
      </c>
      <c r="AT24" s="14">
        <v>0</v>
      </c>
      <c r="AU24" s="14"/>
      <c r="AV24" s="14"/>
      <c r="AW24" s="14" t="s">
        <v>155</v>
      </c>
      <c r="AX24" s="14"/>
      <c r="AY24" s="14" t="s">
        <v>157</v>
      </c>
      <c r="AZ24" s="14" t="s">
        <v>153</v>
      </c>
      <c r="BA24" s="14">
        <v>0</v>
      </c>
      <c r="BB24" s="14">
        <v>0</v>
      </c>
      <c r="BC24" s="14">
        <v>0</v>
      </c>
      <c r="BD24" s="14" t="s">
        <v>216</v>
      </c>
      <c r="BE24" s="14">
        <v>0</v>
      </c>
      <c r="BF24" s="14">
        <v>0</v>
      </c>
      <c r="BG24" s="14">
        <v>0</v>
      </c>
      <c r="BH24" s="14">
        <v>0</v>
      </c>
      <c r="BI24" s="14">
        <v>0</v>
      </c>
      <c r="BJ24" s="14">
        <v>0</v>
      </c>
      <c r="BK24" s="14">
        <v>0</v>
      </c>
      <c r="BL24" s="14">
        <v>1</v>
      </c>
      <c r="BM24" s="14">
        <v>0</v>
      </c>
      <c r="BN24" s="14">
        <v>0</v>
      </c>
      <c r="BO24" s="14">
        <v>0</v>
      </c>
      <c r="BP24" s="14">
        <v>0</v>
      </c>
      <c r="BQ24" s="14">
        <v>0</v>
      </c>
      <c r="BR24" s="14">
        <v>0</v>
      </c>
      <c r="BS24" s="14"/>
      <c r="BT24" s="14"/>
      <c r="BU24" s="14"/>
      <c r="BV24" s="14">
        <v>0</v>
      </c>
      <c r="BW24" s="14">
        <v>0</v>
      </c>
      <c r="BX24" s="14">
        <v>0</v>
      </c>
      <c r="BY24" s="14"/>
      <c r="BZ24" s="14"/>
    </row>
    <row r="25" customFormat="1" ht="20.1" customHeight="1" spans="1:78">
      <c r="A25" s="1"/>
      <c r="B25" s="14"/>
      <c r="C25" s="15">
        <v>20</v>
      </c>
      <c r="D25" s="14" t="s">
        <v>217</v>
      </c>
      <c r="E25" s="14" t="s">
        <v>218</v>
      </c>
      <c r="F25" s="14">
        <v>1</v>
      </c>
      <c r="G25" s="14" t="s">
        <v>174</v>
      </c>
      <c r="H25" s="14">
        <v>0</v>
      </c>
      <c r="I25" s="14">
        <v>0</v>
      </c>
      <c r="J25" s="14">
        <v>1</v>
      </c>
      <c r="K25" s="14">
        <v>0</v>
      </c>
      <c r="L25" s="14">
        <v>0</v>
      </c>
      <c r="M25" s="14">
        <v>0</v>
      </c>
      <c r="N25" s="14">
        <v>0</v>
      </c>
      <c r="O25" s="14">
        <v>1</v>
      </c>
      <c r="P25" s="14">
        <v>0</v>
      </c>
      <c r="Q25" s="14">
        <v>0</v>
      </c>
      <c r="R25" s="14">
        <v>0</v>
      </c>
      <c r="S25" s="14">
        <v>0</v>
      </c>
      <c r="T25" s="14">
        <v>0</v>
      </c>
      <c r="U25" s="14">
        <v>1</v>
      </c>
      <c r="V25" s="14">
        <v>2</v>
      </c>
      <c r="W25" s="14">
        <v>0</v>
      </c>
      <c r="X25" s="14">
        <v>0</v>
      </c>
      <c r="Y25" s="14"/>
      <c r="Z25" s="14">
        <v>0</v>
      </c>
      <c r="AA25" s="14">
        <v>1</v>
      </c>
      <c r="AB25" s="14">
        <v>0</v>
      </c>
      <c r="AC25" s="14">
        <v>0</v>
      </c>
      <c r="AD25" s="14">
        <v>0</v>
      </c>
      <c r="AE25" s="14">
        <v>0</v>
      </c>
      <c r="AF25" s="14">
        <v>9</v>
      </c>
      <c r="AG25" s="14">
        <v>1</v>
      </c>
      <c r="AH25" s="14">
        <v>2</v>
      </c>
      <c r="AI25" s="14">
        <v>7</v>
      </c>
      <c r="AJ25" s="14">
        <v>0</v>
      </c>
      <c r="AK25" s="14">
        <v>0</v>
      </c>
      <c r="AL25" s="14">
        <v>15</v>
      </c>
      <c r="AM25" s="14">
        <v>0</v>
      </c>
      <c r="AN25" s="14">
        <v>0</v>
      </c>
      <c r="AO25" s="14">
        <v>0</v>
      </c>
      <c r="AP25" s="14">
        <v>0</v>
      </c>
      <c r="AQ25" s="14">
        <v>3000</v>
      </c>
      <c r="AR25" s="14">
        <v>0</v>
      </c>
      <c r="AS25" s="14">
        <v>0</v>
      </c>
      <c r="AT25" s="14">
        <v>0</v>
      </c>
      <c r="AU25" s="14"/>
      <c r="AV25" s="14"/>
      <c r="AW25" s="14" t="s">
        <v>175</v>
      </c>
      <c r="AX25" s="14"/>
      <c r="AY25" s="14" t="s">
        <v>157</v>
      </c>
      <c r="AZ25" s="14" t="s">
        <v>153</v>
      </c>
      <c r="BA25" s="14">
        <v>0</v>
      </c>
      <c r="BB25" s="14">
        <v>0</v>
      </c>
      <c r="BC25" s="14">
        <v>0</v>
      </c>
      <c r="BD25" s="14" t="s">
        <v>219</v>
      </c>
      <c r="BE25" s="14">
        <v>0</v>
      </c>
      <c r="BF25" s="14">
        <v>0</v>
      </c>
      <c r="BG25" s="14">
        <v>0</v>
      </c>
      <c r="BH25" s="14">
        <v>0</v>
      </c>
      <c r="BI25" s="14">
        <v>0</v>
      </c>
      <c r="BJ25" s="14">
        <v>0</v>
      </c>
      <c r="BK25" s="14">
        <v>0</v>
      </c>
      <c r="BL25" s="14">
        <v>0</v>
      </c>
      <c r="BM25" s="14">
        <v>0</v>
      </c>
      <c r="BN25" s="14">
        <v>0</v>
      </c>
      <c r="BO25" s="14">
        <v>0</v>
      </c>
      <c r="BP25" s="14">
        <v>0</v>
      </c>
      <c r="BQ25" s="14">
        <v>0</v>
      </c>
      <c r="BR25" s="14">
        <v>0</v>
      </c>
      <c r="BS25" s="14"/>
      <c r="BT25" s="14"/>
      <c r="BU25" s="14"/>
      <c r="BV25" s="14">
        <v>0</v>
      </c>
      <c r="BW25" s="14">
        <v>0</v>
      </c>
      <c r="BX25" s="14">
        <v>0</v>
      </c>
      <c r="BY25" s="14"/>
      <c r="BZ25" s="14"/>
    </row>
    <row r="26" customFormat="1" ht="20.1" customHeight="1" spans="1:78">
      <c r="A26" s="1"/>
      <c r="B26" s="14"/>
      <c r="C26" s="15">
        <v>21</v>
      </c>
      <c r="D26" s="14" t="s">
        <v>220</v>
      </c>
      <c r="E26" s="14" t="s">
        <v>221</v>
      </c>
      <c r="F26" s="14">
        <v>1</v>
      </c>
      <c r="G26" s="14" t="s">
        <v>174</v>
      </c>
      <c r="H26" s="14">
        <v>0</v>
      </c>
      <c r="I26" s="14">
        <v>0</v>
      </c>
      <c r="J26" s="14">
        <v>1</v>
      </c>
      <c r="K26" s="14">
        <v>0</v>
      </c>
      <c r="L26" s="14">
        <v>0</v>
      </c>
      <c r="M26" s="14">
        <v>0</v>
      </c>
      <c r="N26" s="14">
        <v>0</v>
      </c>
      <c r="O26" s="14">
        <v>1</v>
      </c>
      <c r="P26" s="14">
        <v>0</v>
      </c>
      <c r="Q26" s="14">
        <v>0</v>
      </c>
      <c r="R26" s="14">
        <v>0</v>
      </c>
      <c r="S26" s="14">
        <v>0</v>
      </c>
      <c r="T26" s="14">
        <v>0</v>
      </c>
      <c r="U26" s="14">
        <v>1</v>
      </c>
      <c r="V26" s="14">
        <v>2</v>
      </c>
      <c r="W26" s="14">
        <v>0</v>
      </c>
      <c r="X26" s="14">
        <v>0</v>
      </c>
      <c r="Y26" s="14"/>
      <c r="Z26" s="14">
        <v>0</v>
      </c>
      <c r="AA26" s="14">
        <v>1</v>
      </c>
      <c r="AB26" s="14">
        <v>0</v>
      </c>
      <c r="AC26" s="14">
        <v>0</v>
      </c>
      <c r="AD26" s="14">
        <v>0</v>
      </c>
      <c r="AE26" s="14">
        <v>0</v>
      </c>
      <c r="AF26" s="14">
        <v>1</v>
      </c>
      <c r="AG26" s="14">
        <v>1</v>
      </c>
      <c r="AH26" s="14">
        <v>4</v>
      </c>
      <c r="AI26" s="14">
        <v>2</v>
      </c>
      <c r="AJ26" s="14">
        <v>1</v>
      </c>
      <c r="AK26" s="14">
        <v>0</v>
      </c>
      <c r="AL26" s="14">
        <v>7</v>
      </c>
      <c r="AM26" s="14">
        <v>0</v>
      </c>
      <c r="AN26" s="14">
        <v>0</v>
      </c>
      <c r="AO26" s="14">
        <v>0</v>
      </c>
      <c r="AP26" s="14">
        <v>0</v>
      </c>
      <c r="AQ26" s="14">
        <v>2000</v>
      </c>
      <c r="AR26" s="14">
        <v>0</v>
      </c>
      <c r="AS26" s="14">
        <v>0</v>
      </c>
      <c r="AT26" s="14">
        <v>0</v>
      </c>
      <c r="AU26" s="14"/>
      <c r="AV26" s="14"/>
      <c r="AW26" s="14" t="s">
        <v>175</v>
      </c>
      <c r="AX26" s="14"/>
      <c r="AY26" s="14" t="s">
        <v>157</v>
      </c>
      <c r="AZ26" s="14" t="s">
        <v>153</v>
      </c>
      <c r="BA26" s="14">
        <v>0</v>
      </c>
      <c r="BB26" s="14">
        <v>0</v>
      </c>
      <c r="BC26" s="14">
        <v>0</v>
      </c>
      <c r="BD26" s="14" t="str">
        <f>"立即将附近玩家全部拉到当前位置"</f>
        <v>立即将附近玩家全部拉到当前位置</v>
      </c>
      <c r="BE26" s="14">
        <v>0</v>
      </c>
      <c r="BF26" s="14">
        <v>0</v>
      </c>
      <c r="BG26" s="14">
        <v>0</v>
      </c>
      <c r="BH26" s="14">
        <v>0</v>
      </c>
      <c r="BI26" s="14">
        <v>0</v>
      </c>
      <c r="BJ26" s="14">
        <v>0</v>
      </c>
      <c r="BK26" s="14">
        <v>0</v>
      </c>
      <c r="BL26" s="14">
        <v>0</v>
      </c>
      <c r="BM26" s="14">
        <v>0</v>
      </c>
      <c r="BN26" s="14">
        <v>0</v>
      </c>
      <c r="BO26" s="14">
        <v>0</v>
      </c>
      <c r="BP26" s="14">
        <v>0</v>
      </c>
      <c r="BQ26" s="14">
        <v>0</v>
      </c>
      <c r="BR26" s="14">
        <v>0</v>
      </c>
      <c r="BS26" s="14"/>
      <c r="BT26" s="14"/>
      <c r="BU26" s="14"/>
      <c r="BV26" s="14">
        <v>0</v>
      </c>
      <c r="BW26" s="14">
        <v>0</v>
      </c>
      <c r="BX26" s="14">
        <v>0</v>
      </c>
      <c r="BY26" s="14"/>
      <c r="BZ26" s="14"/>
    </row>
    <row r="27" customFormat="1" ht="20.1" customHeight="1" spans="1:78">
      <c r="A27" s="1"/>
      <c r="B27" s="14"/>
      <c r="C27" s="15">
        <v>22</v>
      </c>
      <c r="D27" s="14" t="s">
        <v>222</v>
      </c>
      <c r="E27" s="14" t="s">
        <v>223</v>
      </c>
      <c r="F27" s="14">
        <v>1</v>
      </c>
      <c r="G27" s="14" t="s">
        <v>174</v>
      </c>
      <c r="H27" s="14">
        <v>0</v>
      </c>
      <c r="I27" s="14">
        <v>0</v>
      </c>
      <c r="J27" s="14">
        <v>1</v>
      </c>
      <c r="K27" s="14">
        <v>0</v>
      </c>
      <c r="L27" s="14">
        <v>0</v>
      </c>
      <c r="M27" s="14">
        <v>0</v>
      </c>
      <c r="N27" s="14">
        <v>0</v>
      </c>
      <c r="O27" s="14">
        <v>2</v>
      </c>
      <c r="P27" s="14">
        <v>1</v>
      </c>
      <c r="Q27" s="14">
        <v>1</v>
      </c>
      <c r="R27" s="14">
        <v>0</v>
      </c>
      <c r="S27" s="14">
        <v>0</v>
      </c>
      <c r="T27" s="14">
        <v>0</v>
      </c>
      <c r="U27" s="14">
        <v>0</v>
      </c>
      <c r="V27" s="14">
        <v>1</v>
      </c>
      <c r="W27" s="14">
        <v>0</v>
      </c>
      <c r="X27" s="14">
        <v>1</v>
      </c>
      <c r="Y27" s="14"/>
      <c r="Z27" s="14">
        <v>0</v>
      </c>
      <c r="AA27" s="14">
        <v>0</v>
      </c>
      <c r="AB27" s="14">
        <v>0</v>
      </c>
      <c r="AC27" s="14">
        <v>0</v>
      </c>
      <c r="AD27" s="14">
        <v>1</v>
      </c>
      <c r="AE27" s="14">
        <v>0</v>
      </c>
      <c r="AF27" s="14">
        <v>5</v>
      </c>
      <c r="AG27" s="14">
        <v>2</v>
      </c>
      <c r="AH27" s="14" t="s">
        <v>224</v>
      </c>
      <c r="AI27" s="14">
        <v>2</v>
      </c>
      <c r="AJ27" s="14">
        <v>0</v>
      </c>
      <c r="AK27" s="14">
        <v>0</v>
      </c>
      <c r="AL27" s="14">
        <v>3</v>
      </c>
      <c r="AM27" s="14">
        <v>0</v>
      </c>
      <c r="AN27" s="14">
        <v>0</v>
      </c>
      <c r="AO27" s="14">
        <v>0</v>
      </c>
      <c r="AP27" s="14">
        <v>1.25</v>
      </c>
      <c r="AQ27" s="14">
        <v>3000</v>
      </c>
      <c r="AR27" s="14">
        <v>0.4</v>
      </c>
      <c r="AS27" s="14">
        <v>0</v>
      </c>
      <c r="AT27" s="14">
        <v>0</v>
      </c>
      <c r="AU27" s="14"/>
      <c r="AV27" s="14"/>
      <c r="AW27" s="14" t="s">
        <v>225</v>
      </c>
      <c r="AX27" s="14"/>
      <c r="AY27" s="14" t="s">
        <v>157</v>
      </c>
      <c r="AZ27" s="14" t="s">
        <v>153</v>
      </c>
      <c r="BA27" s="14" t="s">
        <v>226</v>
      </c>
      <c r="BB27" s="14">
        <v>0</v>
      </c>
      <c r="BC27" s="14">
        <v>0</v>
      </c>
      <c r="BD27" s="14"/>
      <c r="BE27" s="14">
        <v>0</v>
      </c>
      <c r="BF27" s="14">
        <v>0</v>
      </c>
      <c r="BG27" s="14">
        <v>0</v>
      </c>
      <c r="BH27" s="14">
        <v>0</v>
      </c>
      <c r="BI27" s="14">
        <v>0</v>
      </c>
      <c r="BJ27" s="14">
        <v>0</v>
      </c>
      <c r="BK27" s="14">
        <v>0</v>
      </c>
      <c r="BL27" s="14">
        <v>0</v>
      </c>
      <c r="BM27" s="14">
        <v>0</v>
      </c>
      <c r="BN27" s="14">
        <v>0</v>
      </c>
      <c r="BO27" s="14">
        <v>0</v>
      </c>
      <c r="BP27" s="14">
        <v>0</v>
      </c>
      <c r="BQ27" s="14">
        <v>0</v>
      </c>
      <c r="BR27" s="14">
        <v>0</v>
      </c>
      <c r="BS27" s="14"/>
      <c r="BT27" s="14"/>
      <c r="BU27" s="14"/>
      <c r="BV27" s="14">
        <v>0</v>
      </c>
      <c r="BW27" s="14">
        <v>0</v>
      </c>
      <c r="BX27" s="14">
        <v>0</v>
      </c>
      <c r="BY27" s="14"/>
      <c r="BZ27" s="14"/>
    </row>
    <row r="28" customFormat="1" ht="20.1" customHeight="1" spans="1:78">
      <c r="A28" s="1"/>
      <c r="B28" s="14"/>
      <c r="C28" s="15">
        <v>23</v>
      </c>
      <c r="D28" s="14" t="s">
        <v>227</v>
      </c>
      <c r="E28" s="14" t="s">
        <v>228</v>
      </c>
      <c r="F28" s="14">
        <v>0</v>
      </c>
      <c r="G28" s="14" t="s">
        <v>174</v>
      </c>
      <c r="H28" s="14">
        <v>0</v>
      </c>
      <c r="I28" s="14">
        <v>0</v>
      </c>
      <c r="J28" s="14">
        <v>35</v>
      </c>
      <c r="K28" s="14">
        <v>5</v>
      </c>
      <c r="L28" s="14">
        <v>0</v>
      </c>
      <c r="M28" s="14">
        <v>0</v>
      </c>
      <c r="N28" s="14">
        <v>0</v>
      </c>
      <c r="O28" s="14">
        <v>1</v>
      </c>
      <c r="P28" s="14">
        <v>0</v>
      </c>
      <c r="Q28" s="14">
        <v>0</v>
      </c>
      <c r="R28" s="14">
        <v>0</v>
      </c>
      <c r="S28" s="14">
        <v>0</v>
      </c>
      <c r="T28" s="14">
        <v>0</v>
      </c>
      <c r="U28" s="14">
        <v>1</v>
      </c>
      <c r="V28" s="14">
        <v>2</v>
      </c>
      <c r="W28" s="14">
        <v>0</v>
      </c>
      <c r="X28" s="14">
        <v>0</v>
      </c>
      <c r="Y28" s="14"/>
      <c r="Z28" s="14">
        <v>0</v>
      </c>
      <c r="AA28" s="14">
        <v>0</v>
      </c>
      <c r="AB28" s="14">
        <v>20</v>
      </c>
      <c r="AC28" s="14">
        <v>0</v>
      </c>
      <c r="AD28" s="14">
        <v>0</v>
      </c>
      <c r="AE28" s="14">
        <v>0</v>
      </c>
      <c r="AF28" s="14">
        <v>30</v>
      </c>
      <c r="AG28" s="14">
        <v>1</v>
      </c>
      <c r="AH28" s="14">
        <v>2</v>
      </c>
      <c r="AI28" s="14">
        <v>2</v>
      </c>
      <c r="AJ28" s="14">
        <v>1</v>
      </c>
      <c r="AK28" s="14">
        <v>0</v>
      </c>
      <c r="AL28" s="14">
        <v>5</v>
      </c>
      <c r="AM28" s="14">
        <v>0</v>
      </c>
      <c r="AN28" s="14">
        <v>0</v>
      </c>
      <c r="AO28" s="14">
        <v>0</v>
      </c>
      <c r="AP28" s="14">
        <v>0.5</v>
      </c>
      <c r="AQ28" s="14">
        <v>2000</v>
      </c>
      <c r="AR28" s="14">
        <v>0</v>
      </c>
      <c r="AS28" s="14">
        <v>0</v>
      </c>
      <c r="AT28" s="14">
        <v>0</v>
      </c>
      <c r="AU28" s="14"/>
      <c r="AV28" s="14"/>
      <c r="AW28" s="14" t="s">
        <v>229</v>
      </c>
      <c r="AX28" s="14"/>
      <c r="AY28" s="14" t="s">
        <v>157</v>
      </c>
      <c r="AZ28" s="14" t="s">
        <v>153</v>
      </c>
      <c r="BA28" s="16" t="s">
        <v>230</v>
      </c>
      <c r="BB28" s="14">
        <v>0</v>
      </c>
      <c r="BC28" s="14">
        <v>0</v>
      </c>
      <c r="BD28" s="14" t="s">
        <v>231</v>
      </c>
      <c r="BE28" s="14">
        <v>0</v>
      </c>
      <c r="BF28" s="14">
        <v>0</v>
      </c>
      <c r="BG28" s="14">
        <v>0</v>
      </c>
      <c r="BH28" s="14">
        <v>0</v>
      </c>
      <c r="BI28" s="14">
        <v>0</v>
      </c>
      <c r="BJ28" s="14">
        <v>0</v>
      </c>
      <c r="BK28" s="14">
        <v>0</v>
      </c>
      <c r="BL28" s="14">
        <v>0</v>
      </c>
      <c r="BM28" s="14">
        <v>0</v>
      </c>
      <c r="BN28" s="14">
        <v>0</v>
      </c>
      <c r="BO28" s="14">
        <v>0</v>
      </c>
      <c r="BP28" s="14">
        <v>0</v>
      </c>
      <c r="BQ28" s="14">
        <v>0</v>
      </c>
      <c r="BR28" s="14">
        <v>0</v>
      </c>
      <c r="BS28" s="14"/>
      <c r="BT28" s="14"/>
      <c r="BU28" s="14"/>
      <c r="BV28" s="14">
        <v>0</v>
      </c>
      <c r="BW28" s="14">
        <v>0</v>
      </c>
      <c r="BX28" s="14">
        <v>0</v>
      </c>
      <c r="BY28" s="14"/>
      <c r="BZ28" s="14"/>
    </row>
    <row r="29" customFormat="1" ht="20.1" customHeight="1" spans="1:78">
      <c r="A29" s="1"/>
      <c r="B29" s="14"/>
      <c r="C29" s="15">
        <v>24</v>
      </c>
      <c r="D29" s="14" t="s">
        <v>232</v>
      </c>
      <c r="E29" s="14" t="s">
        <v>233</v>
      </c>
      <c r="F29" s="14">
        <v>1</v>
      </c>
      <c r="G29" s="14" t="s">
        <v>174</v>
      </c>
      <c r="H29" s="14">
        <v>0</v>
      </c>
      <c r="I29" s="14">
        <v>0</v>
      </c>
      <c r="J29" s="14">
        <v>0</v>
      </c>
      <c r="K29" s="14">
        <v>0</v>
      </c>
      <c r="L29" s="14">
        <v>0</v>
      </c>
      <c r="M29" s="14">
        <v>0</v>
      </c>
      <c r="N29" s="14">
        <v>0</v>
      </c>
      <c r="O29" s="14">
        <v>2</v>
      </c>
      <c r="P29" s="14">
        <v>1</v>
      </c>
      <c r="Q29" s="14">
        <v>0.2</v>
      </c>
      <c r="R29" s="14">
        <v>0</v>
      </c>
      <c r="S29" s="14">
        <v>0</v>
      </c>
      <c r="T29" s="14">
        <v>0</v>
      </c>
      <c r="U29" s="14">
        <v>1</v>
      </c>
      <c r="V29" s="14">
        <v>2</v>
      </c>
      <c r="W29" s="14">
        <v>0</v>
      </c>
      <c r="X29" s="14">
        <v>1.5</v>
      </c>
      <c r="Y29" s="14"/>
      <c r="Z29" s="14">
        <v>0</v>
      </c>
      <c r="AA29" s="14">
        <v>1</v>
      </c>
      <c r="AB29" s="14">
        <v>0</v>
      </c>
      <c r="AC29" s="14">
        <v>0</v>
      </c>
      <c r="AD29" s="14">
        <v>0</v>
      </c>
      <c r="AE29" s="14">
        <v>0</v>
      </c>
      <c r="AF29" s="14">
        <v>3</v>
      </c>
      <c r="AG29" s="14">
        <v>2</v>
      </c>
      <c r="AH29" s="14" t="s">
        <v>234</v>
      </c>
      <c r="AI29" s="14">
        <v>2</v>
      </c>
      <c r="AJ29" s="14">
        <v>2</v>
      </c>
      <c r="AK29" s="14">
        <v>0</v>
      </c>
      <c r="AL29" s="14">
        <v>1.5</v>
      </c>
      <c r="AM29" s="14">
        <v>0</v>
      </c>
      <c r="AN29" s="14">
        <v>0</v>
      </c>
      <c r="AO29" s="14">
        <v>0</v>
      </c>
      <c r="AP29" s="14">
        <v>0.2</v>
      </c>
      <c r="AQ29" s="14">
        <v>200</v>
      </c>
      <c r="AR29" s="14">
        <v>0</v>
      </c>
      <c r="AS29" s="14">
        <v>60</v>
      </c>
      <c r="AT29" s="14">
        <v>0</v>
      </c>
      <c r="AU29" s="14"/>
      <c r="AV29" s="14"/>
      <c r="AW29" s="14" t="s">
        <v>175</v>
      </c>
      <c r="AX29" s="14"/>
      <c r="AY29" s="14" t="s">
        <v>157</v>
      </c>
      <c r="AZ29" s="14" t="s">
        <v>153</v>
      </c>
      <c r="BA29" s="14">
        <v>1</v>
      </c>
      <c r="BB29" s="14">
        <v>0</v>
      </c>
      <c r="BC29" s="14">
        <v>0</v>
      </c>
      <c r="BD29" s="14" t="str">
        <f>"立即冲锋至目标区域并对范围内的怪物造成"&amp;X29*100&amp;"%攻击伤害+"&amp;Z29&amp;"点固定伤害,并造成1秒眩晕。"</f>
        <v>立即冲锋至目标区域并对范围内的怪物造成150%攻击伤害+0点固定伤害,并造成1秒眩晕。</v>
      </c>
      <c r="BE29" s="14">
        <v>0</v>
      </c>
      <c r="BF29" s="14">
        <v>0</v>
      </c>
      <c r="BG29" s="14">
        <v>0</v>
      </c>
      <c r="BH29" s="14">
        <v>0</v>
      </c>
      <c r="BI29" s="14">
        <v>0</v>
      </c>
      <c r="BJ29" s="14">
        <v>0</v>
      </c>
      <c r="BK29" s="14">
        <v>0</v>
      </c>
      <c r="BL29" s="14">
        <v>0</v>
      </c>
      <c r="BM29" s="14">
        <v>0</v>
      </c>
      <c r="BN29" s="14">
        <v>0</v>
      </c>
      <c r="BO29" s="14">
        <v>0</v>
      </c>
      <c r="BP29" s="14">
        <v>0</v>
      </c>
      <c r="BQ29" s="14">
        <v>0</v>
      </c>
      <c r="BR29" s="14">
        <v>0</v>
      </c>
      <c r="BS29" s="14"/>
      <c r="BT29" s="14"/>
      <c r="BU29" s="14"/>
      <c r="BV29" s="14">
        <v>0</v>
      </c>
      <c r="BW29" s="14">
        <v>0</v>
      </c>
      <c r="BX29" s="14">
        <v>0</v>
      </c>
      <c r="BY29" s="14"/>
      <c r="BZ29" s="14"/>
    </row>
    <row r="30" customFormat="1" ht="20.1" customHeight="1" spans="1:78">
      <c r="A30" s="1"/>
      <c r="B30" s="14"/>
      <c r="C30" s="15">
        <v>25</v>
      </c>
      <c r="D30" s="14" t="s">
        <v>235</v>
      </c>
      <c r="E30" s="14" t="s">
        <v>236</v>
      </c>
      <c r="F30" s="14">
        <v>0</v>
      </c>
      <c r="G30" s="14" t="s">
        <v>174</v>
      </c>
      <c r="H30" s="14">
        <v>0</v>
      </c>
      <c r="I30" s="14">
        <v>1</v>
      </c>
      <c r="J30" s="14">
        <v>3</v>
      </c>
      <c r="K30" s="14">
        <v>0</v>
      </c>
      <c r="L30" s="14">
        <v>0</v>
      </c>
      <c r="M30" s="14">
        <v>0</v>
      </c>
      <c r="N30" s="14">
        <v>0</v>
      </c>
      <c r="O30" s="14">
        <v>1</v>
      </c>
      <c r="P30" s="14">
        <v>0</v>
      </c>
      <c r="Q30" s="14">
        <v>0</v>
      </c>
      <c r="R30" s="14">
        <v>0</v>
      </c>
      <c r="S30" s="14">
        <v>0</v>
      </c>
      <c r="T30" s="14">
        <v>0</v>
      </c>
      <c r="U30" s="14">
        <v>1</v>
      </c>
      <c r="V30" s="14">
        <v>2</v>
      </c>
      <c r="W30" s="14">
        <v>0</v>
      </c>
      <c r="X30" s="14">
        <v>1</v>
      </c>
      <c r="Y30" s="14"/>
      <c r="Z30" s="14">
        <v>300</v>
      </c>
      <c r="AA30" s="14">
        <v>1</v>
      </c>
      <c r="AB30" s="14">
        <v>0</v>
      </c>
      <c r="AC30" s="14">
        <v>0</v>
      </c>
      <c r="AD30" s="14">
        <v>0</v>
      </c>
      <c r="AE30" s="14">
        <v>0</v>
      </c>
      <c r="AF30" s="14">
        <v>15</v>
      </c>
      <c r="AG30" s="14">
        <v>1</v>
      </c>
      <c r="AH30" s="14" t="s">
        <v>156</v>
      </c>
      <c r="AI30" s="14">
        <v>2</v>
      </c>
      <c r="AJ30" s="14">
        <v>0</v>
      </c>
      <c r="AK30" s="14">
        <v>0</v>
      </c>
      <c r="AL30" s="14">
        <v>0</v>
      </c>
      <c r="AM30" s="14">
        <v>0</v>
      </c>
      <c r="AN30" s="14">
        <v>0</v>
      </c>
      <c r="AO30" s="14">
        <v>0</v>
      </c>
      <c r="AP30" s="14">
        <v>0</v>
      </c>
      <c r="AQ30" s="14">
        <v>3000</v>
      </c>
      <c r="AR30" s="14">
        <v>0</v>
      </c>
      <c r="AS30" s="14">
        <v>0</v>
      </c>
      <c r="AT30" s="14">
        <v>0</v>
      </c>
      <c r="AU30" s="14"/>
      <c r="AV30" s="14"/>
      <c r="AW30" s="14" t="s">
        <v>237</v>
      </c>
      <c r="AX30" s="14"/>
      <c r="AY30" s="14" t="s">
        <v>157</v>
      </c>
      <c r="AZ30" s="14" t="s">
        <v>153</v>
      </c>
      <c r="BA30" s="14">
        <v>0</v>
      </c>
      <c r="BB30" s="14">
        <v>0</v>
      </c>
      <c r="BC30" s="14">
        <v>0</v>
      </c>
      <c r="BD30" s="14" t="str">
        <f>"每秒对周围的怪物造成"&amp;X30*100&amp;"%攻击伤害+"&amp;Z30&amp;"点固定伤害.持续4秒并使自身免疫怪物攻击。"</f>
        <v>每秒对周围的怪物造成100%攻击伤害+300点固定伤害.持续4秒并使自身免疫怪物攻击。</v>
      </c>
      <c r="BE30" s="14">
        <v>0</v>
      </c>
      <c r="BF30" s="14">
        <v>0</v>
      </c>
      <c r="BG30" s="14">
        <v>0</v>
      </c>
      <c r="BH30" s="14">
        <v>0</v>
      </c>
      <c r="BI30" s="14">
        <v>0</v>
      </c>
      <c r="BJ30" s="14">
        <v>0</v>
      </c>
      <c r="BK30" s="14">
        <v>0</v>
      </c>
      <c r="BL30" s="14">
        <v>0</v>
      </c>
      <c r="BM30" s="14">
        <v>0</v>
      </c>
      <c r="BN30" s="14">
        <v>0</v>
      </c>
      <c r="BO30" s="14">
        <v>0</v>
      </c>
      <c r="BP30" s="14">
        <v>0</v>
      </c>
      <c r="BQ30" s="14">
        <v>0</v>
      </c>
      <c r="BR30" s="14">
        <v>0</v>
      </c>
      <c r="BS30" s="14"/>
      <c r="BT30" s="14"/>
      <c r="BU30" s="14"/>
      <c r="BV30" s="14">
        <v>0</v>
      </c>
      <c r="BW30" s="14">
        <v>0</v>
      </c>
      <c r="BX30" s="14">
        <v>0</v>
      </c>
      <c r="BY30" s="14"/>
      <c r="BZ30" s="14"/>
    </row>
    <row r="31" customFormat="1" ht="20.1" customHeight="1" spans="1:78">
      <c r="A31" s="1"/>
      <c r="B31" s="14"/>
      <c r="C31" s="15">
        <v>26</v>
      </c>
      <c r="D31" s="14" t="s">
        <v>238</v>
      </c>
      <c r="E31" s="14" t="s">
        <v>239</v>
      </c>
      <c r="F31" s="14">
        <v>0</v>
      </c>
      <c r="G31" s="14" t="s">
        <v>174</v>
      </c>
      <c r="H31" s="14">
        <v>0</v>
      </c>
      <c r="I31" s="14">
        <v>0</v>
      </c>
      <c r="J31" s="14">
        <v>18</v>
      </c>
      <c r="K31" s="14">
        <v>5</v>
      </c>
      <c r="L31" s="14">
        <v>0</v>
      </c>
      <c r="M31" s="14">
        <v>0</v>
      </c>
      <c r="N31" s="14">
        <v>0</v>
      </c>
      <c r="O31" s="14">
        <v>1</v>
      </c>
      <c r="P31" s="14">
        <v>0</v>
      </c>
      <c r="Q31" s="14">
        <v>0</v>
      </c>
      <c r="R31" s="14">
        <v>0</v>
      </c>
      <c r="S31" s="14">
        <v>0</v>
      </c>
      <c r="T31" s="14">
        <v>0</v>
      </c>
      <c r="U31" s="14">
        <v>1</v>
      </c>
      <c r="V31" s="14">
        <v>2</v>
      </c>
      <c r="W31" s="14">
        <v>0</v>
      </c>
      <c r="X31" s="14">
        <v>2.5</v>
      </c>
      <c r="Y31" s="14"/>
      <c r="Z31" s="14">
        <v>900</v>
      </c>
      <c r="AA31" s="14">
        <v>0</v>
      </c>
      <c r="AB31" s="14">
        <v>0</v>
      </c>
      <c r="AC31" s="14">
        <v>0</v>
      </c>
      <c r="AD31" s="14">
        <v>0</v>
      </c>
      <c r="AE31" s="14">
        <v>0</v>
      </c>
      <c r="AF31" s="14">
        <v>7</v>
      </c>
      <c r="AG31" s="14">
        <v>1</v>
      </c>
      <c r="AH31" s="14">
        <v>4</v>
      </c>
      <c r="AI31" s="14">
        <v>2</v>
      </c>
      <c r="AJ31" s="14">
        <v>1</v>
      </c>
      <c r="AK31" s="14">
        <v>0</v>
      </c>
      <c r="AL31" s="14">
        <v>7</v>
      </c>
      <c r="AM31" s="14">
        <v>0</v>
      </c>
      <c r="AN31" s="14">
        <v>0</v>
      </c>
      <c r="AO31" s="14">
        <v>0</v>
      </c>
      <c r="AP31" s="14">
        <v>0.25</v>
      </c>
      <c r="AQ31" s="14">
        <v>2000</v>
      </c>
      <c r="AR31" s="14">
        <v>0.25</v>
      </c>
      <c r="AS31" s="14">
        <v>0</v>
      </c>
      <c r="AT31" s="14">
        <v>0</v>
      </c>
      <c r="AU31" s="14"/>
      <c r="AV31" s="14"/>
      <c r="AW31" s="14" t="s">
        <v>207</v>
      </c>
      <c r="AX31" s="14"/>
      <c r="AY31" s="14" t="s">
        <v>157</v>
      </c>
      <c r="AZ31" s="14" t="s">
        <v>153</v>
      </c>
      <c r="BA31" s="14">
        <v>0</v>
      </c>
      <c r="BB31" s="14">
        <v>0</v>
      </c>
      <c r="BC31" s="14">
        <v>0</v>
      </c>
      <c r="BD31" s="14" t="str">
        <f>"立即将目标周围的怪物强制拉到技能范围中,并对目标范围内的怪物造成"&amp;X31*100&amp;"%攻击伤害+"&amp;Z31&amp;"点固定伤害,并使目标移动速度降低50%且沉默,持续3秒。"</f>
        <v>立即将目标周围的怪物强制拉到技能范围中,并对目标范围内的怪物造成250%攻击伤害+900点固定伤害,并使目标移动速度降低50%且沉默,持续3秒。</v>
      </c>
      <c r="BE31" s="14">
        <v>0</v>
      </c>
      <c r="BF31" s="14">
        <v>0</v>
      </c>
      <c r="BG31" s="14">
        <v>0</v>
      </c>
      <c r="BH31" s="14">
        <v>0</v>
      </c>
      <c r="BI31" s="14">
        <v>0</v>
      </c>
      <c r="BJ31" s="14">
        <v>0</v>
      </c>
      <c r="BK31" s="14">
        <v>0</v>
      </c>
      <c r="BL31" s="14">
        <v>0</v>
      </c>
      <c r="BM31" s="14">
        <v>0</v>
      </c>
      <c r="BN31" s="14">
        <v>0</v>
      </c>
      <c r="BO31" s="14">
        <v>0</v>
      </c>
      <c r="BP31" s="14">
        <v>0</v>
      </c>
      <c r="BQ31" s="14">
        <v>0</v>
      </c>
      <c r="BR31" s="14">
        <v>0</v>
      </c>
      <c r="BS31" s="14"/>
      <c r="BT31" s="14"/>
      <c r="BU31" s="14"/>
      <c r="BV31" s="14">
        <v>0</v>
      </c>
      <c r="BW31" s="14">
        <v>0</v>
      </c>
      <c r="BX31" s="14">
        <v>0</v>
      </c>
      <c r="BY31" s="14"/>
      <c r="BZ31" s="14"/>
    </row>
    <row r="32" customFormat="1" ht="20.1" customHeight="1" spans="1:78">
      <c r="A32" s="1"/>
      <c r="B32" s="14"/>
      <c r="C32" s="15">
        <v>27</v>
      </c>
      <c r="D32" s="14" t="s">
        <v>240</v>
      </c>
      <c r="E32" s="14" t="s">
        <v>241</v>
      </c>
      <c r="F32" s="14">
        <v>0</v>
      </c>
      <c r="G32" s="14" t="s">
        <v>174</v>
      </c>
      <c r="H32" s="14">
        <v>0</v>
      </c>
      <c r="I32" s="14">
        <v>0</v>
      </c>
      <c r="J32" s="14">
        <v>35</v>
      </c>
      <c r="K32" s="14">
        <v>5</v>
      </c>
      <c r="L32" s="14">
        <v>0</v>
      </c>
      <c r="M32" s="14">
        <v>0</v>
      </c>
      <c r="N32" s="14">
        <v>0</v>
      </c>
      <c r="O32" s="14">
        <v>1</v>
      </c>
      <c r="P32" s="14">
        <v>0</v>
      </c>
      <c r="Q32" s="14">
        <v>0</v>
      </c>
      <c r="R32" s="14">
        <v>0</v>
      </c>
      <c r="S32" s="14">
        <v>0</v>
      </c>
      <c r="T32" s="14">
        <v>0</v>
      </c>
      <c r="U32" s="14">
        <v>1</v>
      </c>
      <c r="V32" s="14">
        <v>2</v>
      </c>
      <c r="W32" s="14">
        <v>0</v>
      </c>
      <c r="X32" s="14">
        <v>2.5</v>
      </c>
      <c r="Y32" s="14"/>
      <c r="Z32" s="14">
        <v>1000</v>
      </c>
      <c r="AA32" s="14">
        <v>1</v>
      </c>
      <c r="AB32" s="14">
        <v>0</v>
      </c>
      <c r="AC32" s="14">
        <v>0</v>
      </c>
      <c r="AD32" s="14">
        <v>0</v>
      </c>
      <c r="AE32" s="14">
        <v>0</v>
      </c>
      <c r="AF32" s="14">
        <v>18</v>
      </c>
      <c r="AG32" s="14">
        <v>1</v>
      </c>
      <c r="AH32" s="14">
        <v>4</v>
      </c>
      <c r="AI32" s="14">
        <v>2</v>
      </c>
      <c r="AJ32" s="14">
        <v>1</v>
      </c>
      <c r="AK32" s="14">
        <v>0</v>
      </c>
      <c r="AL32" s="14">
        <v>7</v>
      </c>
      <c r="AM32" s="14">
        <v>0</v>
      </c>
      <c r="AN32" s="14">
        <v>0</v>
      </c>
      <c r="AO32" s="14">
        <v>0</v>
      </c>
      <c r="AP32" s="14">
        <v>0.5</v>
      </c>
      <c r="AQ32" s="14">
        <v>6000</v>
      </c>
      <c r="AR32" s="14">
        <v>0.2</v>
      </c>
      <c r="AS32" s="14">
        <v>0</v>
      </c>
      <c r="AT32" s="14">
        <v>0</v>
      </c>
      <c r="AU32" s="14"/>
      <c r="AV32" s="14"/>
      <c r="AW32" s="14" t="s">
        <v>242</v>
      </c>
      <c r="AX32" s="14"/>
      <c r="AY32" s="14" t="s">
        <v>157</v>
      </c>
      <c r="AZ32" s="14" t="s">
        <v>153</v>
      </c>
      <c r="BA32" s="14">
        <v>0</v>
      </c>
      <c r="BB32" s="14">
        <v>0</v>
      </c>
      <c r="BC32" s="14">
        <v>0</v>
      </c>
      <c r="BD32" s="14" t="str">
        <f>"对目标区域释放一个引力场,引力场会不断牵附近怪物进入引力场,并对怪物造成"&amp;X32*100&amp;"%攻击伤害+"&amp;Z32&amp;"点固定伤害,随后在技能范围中的敌人每秒受到100%攻击伤害+"&amp;BP32&amp;"点伤害"</f>
        <v>对目标区域释放一个引力场,引力场会不断牵附近怪物进入引力场,并对怪物造成250%攻击伤害+1000点固定伤害,随后在技能范围中的敌人每秒受到100%攻击伤害+200点伤害</v>
      </c>
      <c r="BE32" s="14">
        <v>0</v>
      </c>
      <c r="BF32" s="14">
        <v>0</v>
      </c>
      <c r="BG32" s="14">
        <v>0</v>
      </c>
      <c r="BH32" s="14">
        <v>0</v>
      </c>
      <c r="BI32" s="14">
        <v>0</v>
      </c>
      <c r="BJ32" s="14">
        <v>0</v>
      </c>
      <c r="BK32" s="14">
        <v>0</v>
      </c>
      <c r="BL32" s="14">
        <v>0</v>
      </c>
      <c r="BM32" s="14">
        <v>0</v>
      </c>
      <c r="BN32" s="14">
        <v>1000</v>
      </c>
      <c r="BO32" s="14">
        <v>1</v>
      </c>
      <c r="BP32" s="14">
        <v>200</v>
      </c>
      <c r="BQ32" s="14">
        <v>0</v>
      </c>
      <c r="BR32" s="14">
        <v>0</v>
      </c>
      <c r="BS32" s="14"/>
      <c r="BT32" s="14"/>
      <c r="BU32" s="14"/>
      <c r="BV32" s="14">
        <v>1000</v>
      </c>
      <c r="BW32" s="14">
        <v>1</v>
      </c>
      <c r="BX32" s="14">
        <v>1</v>
      </c>
      <c r="BY32" s="14"/>
      <c r="BZ32" s="14"/>
    </row>
    <row r="33" customFormat="1" ht="20.1" customHeight="1" spans="1:78">
      <c r="A33" s="1"/>
      <c r="B33" s="14"/>
      <c r="C33" s="15">
        <v>28</v>
      </c>
      <c r="D33" s="14" t="s">
        <v>235</v>
      </c>
      <c r="E33" s="14" t="s">
        <v>243</v>
      </c>
      <c r="F33" s="14">
        <v>0</v>
      </c>
      <c r="G33" s="14" t="s">
        <v>174</v>
      </c>
      <c r="H33" s="14">
        <v>0</v>
      </c>
      <c r="I33" s="14">
        <v>1</v>
      </c>
      <c r="J33" s="14">
        <v>10</v>
      </c>
      <c r="K33" s="14">
        <v>3</v>
      </c>
      <c r="L33" s="14">
        <v>0</v>
      </c>
      <c r="M33" s="14">
        <v>0</v>
      </c>
      <c r="N33" s="14">
        <v>0</v>
      </c>
      <c r="O33" s="14">
        <v>6</v>
      </c>
      <c r="P33" s="14">
        <v>0</v>
      </c>
      <c r="Q33" s="14">
        <v>0</v>
      </c>
      <c r="R33" s="14">
        <v>0</v>
      </c>
      <c r="S33" s="14">
        <v>0</v>
      </c>
      <c r="T33" s="14">
        <v>0</v>
      </c>
      <c r="U33" s="14">
        <v>1</v>
      </c>
      <c r="V33" s="14">
        <v>2</v>
      </c>
      <c r="W33" s="14">
        <v>0</v>
      </c>
      <c r="X33" s="14">
        <v>3</v>
      </c>
      <c r="Y33" s="14"/>
      <c r="Z33" s="14">
        <v>350</v>
      </c>
      <c r="AA33" s="14">
        <v>1</v>
      </c>
      <c r="AB33" s="14">
        <v>0</v>
      </c>
      <c r="AC33" s="14">
        <v>0</v>
      </c>
      <c r="AD33" s="14">
        <v>0</v>
      </c>
      <c r="AE33" s="14">
        <v>0</v>
      </c>
      <c r="AF33" s="14">
        <v>9</v>
      </c>
      <c r="AG33" s="14">
        <v>1</v>
      </c>
      <c r="AH33" s="14">
        <v>3</v>
      </c>
      <c r="AI33" s="14">
        <v>2</v>
      </c>
      <c r="AJ33" s="14">
        <v>1</v>
      </c>
      <c r="AK33" s="14">
        <v>0</v>
      </c>
      <c r="AL33" s="14">
        <v>6</v>
      </c>
      <c r="AM33" s="14">
        <v>0</v>
      </c>
      <c r="AN33" s="14">
        <v>0</v>
      </c>
      <c r="AO33" s="14">
        <v>0</v>
      </c>
      <c r="AP33" s="14">
        <v>1</v>
      </c>
      <c r="AQ33" s="14">
        <v>3000</v>
      </c>
      <c r="AR33" s="14">
        <v>0.4</v>
      </c>
      <c r="AS33" s="14">
        <v>0</v>
      </c>
      <c r="AT33" s="14">
        <v>0</v>
      </c>
      <c r="AU33" s="14"/>
      <c r="AV33" s="14"/>
      <c r="AW33" s="14" t="s">
        <v>244</v>
      </c>
      <c r="AX33" s="14"/>
      <c r="AY33" s="14" t="s">
        <v>157</v>
      </c>
      <c r="AZ33" s="14" t="s">
        <v>153</v>
      </c>
      <c r="BA33" s="14">
        <v>0</v>
      </c>
      <c r="BB33" s="14">
        <v>0</v>
      </c>
      <c r="BC33" s="14">
        <v>0</v>
      </c>
      <c r="BD33" s="14" t="str">
        <f>"每秒对周围的怪物造成"&amp;X33*100&amp;"%攻击伤害+"&amp;Z33&amp;"点固定伤害.持续4秒并使自身免疫怪物攻击。"</f>
        <v>每秒对周围的怪物造成300%攻击伤害+350点固定伤害.持续4秒并使自身免疫怪物攻击。</v>
      </c>
      <c r="BE33" s="14">
        <v>0</v>
      </c>
      <c r="BF33" s="14">
        <v>0</v>
      </c>
      <c r="BG33" s="14">
        <v>0</v>
      </c>
      <c r="BH33" s="14">
        <v>0</v>
      </c>
      <c r="BI33" s="14">
        <v>0</v>
      </c>
      <c r="BJ33" s="14">
        <v>0</v>
      </c>
      <c r="BK33" s="14">
        <v>0</v>
      </c>
      <c r="BL33" s="14">
        <v>0</v>
      </c>
      <c r="BM33" s="14">
        <v>0</v>
      </c>
      <c r="BN33" s="14">
        <v>0</v>
      </c>
      <c r="BO33" s="14">
        <v>0</v>
      </c>
      <c r="BP33" s="14">
        <v>0</v>
      </c>
      <c r="BQ33" s="14">
        <v>0</v>
      </c>
      <c r="BR33" s="14">
        <v>0</v>
      </c>
      <c r="BS33" s="14"/>
      <c r="BT33" s="14"/>
      <c r="BU33" s="14"/>
      <c r="BV33" s="14">
        <v>0</v>
      </c>
      <c r="BW33" s="14">
        <v>0</v>
      </c>
      <c r="BX33" s="14">
        <v>0</v>
      </c>
      <c r="BY33" s="14"/>
      <c r="BZ33" s="14"/>
    </row>
    <row r="34" customFormat="1" ht="20.1" customHeight="1" spans="1:78">
      <c r="A34" s="1"/>
      <c r="B34" s="14"/>
      <c r="C34" s="15">
        <v>29</v>
      </c>
      <c r="D34" s="14" t="s">
        <v>245</v>
      </c>
      <c r="E34" s="14" t="s">
        <v>246</v>
      </c>
      <c r="F34" s="14">
        <v>1</v>
      </c>
      <c r="G34" s="14" t="s">
        <v>174</v>
      </c>
      <c r="H34" s="14">
        <v>0</v>
      </c>
      <c r="I34" s="14">
        <v>0</v>
      </c>
      <c r="J34" s="14">
        <v>1</v>
      </c>
      <c r="K34" s="14">
        <v>0</v>
      </c>
      <c r="L34" s="14">
        <v>0</v>
      </c>
      <c r="M34" s="14">
        <v>0</v>
      </c>
      <c r="N34" s="14">
        <v>0</v>
      </c>
      <c r="O34" s="14">
        <v>2</v>
      </c>
      <c r="P34" s="14">
        <v>2</v>
      </c>
      <c r="Q34" s="14">
        <v>0.8</v>
      </c>
      <c r="R34" s="14">
        <v>0</v>
      </c>
      <c r="S34" s="14">
        <v>0</v>
      </c>
      <c r="T34" s="14">
        <v>0</v>
      </c>
      <c r="U34" s="14">
        <v>1</v>
      </c>
      <c r="V34" s="14">
        <v>2</v>
      </c>
      <c r="W34" s="14">
        <v>0</v>
      </c>
      <c r="X34" s="14">
        <v>3</v>
      </c>
      <c r="Y34" s="14"/>
      <c r="Z34" s="14">
        <v>0</v>
      </c>
      <c r="AA34" s="14">
        <v>1</v>
      </c>
      <c r="AB34" s="14">
        <v>0</v>
      </c>
      <c r="AC34" s="14">
        <v>0</v>
      </c>
      <c r="AD34" s="14">
        <v>0</v>
      </c>
      <c r="AE34" s="14">
        <v>0</v>
      </c>
      <c r="AF34" s="14">
        <v>12</v>
      </c>
      <c r="AG34" s="14">
        <v>1</v>
      </c>
      <c r="AH34" s="14">
        <v>3</v>
      </c>
      <c r="AI34" s="14">
        <v>0</v>
      </c>
      <c r="AJ34" s="14">
        <v>1</v>
      </c>
      <c r="AK34" s="14">
        <v>0</v>
      </c>
      <c r="AL34" s="14">
        <v>1.5</v>
      </c>
      <c r="AM34" s="14">
        <v>0</v>
      </c>
      <c r="AN34" s="14">
        <v>0</v>
      </c>
      <c r="AO34" s="14">
        <v>0</v>
      </c>
      <c r="AP34" s="14">
        <v>1</v>
      </c>
      <c r="AQ34" s="14">
        <v>4000</v>
      </c>
      <c r="AR34" s="14">
        <v>1</v>
      </c>
      <c r="AS34" s="14">
        <v>0</v>
      </c>
      <c r="AT34" s="14">
        <v>0</v>
      </c>
      <c r="AU34" s="14"/>
      <c r="AV34" s="14"/>
      <c r="AW34" s="14" t="s">
        <v>244</v>
      </c>
      <c r="AX34" s="14"/>
      <c r="AY34" s="14" t="s">
        <v>157</v>
      </c>
      <c r="AZ34" s="14" t="s">
        <v>153</v>
      </c>
      <c r="BA34" s="14">
        <v>0</v>
      </c>
      <c r="BB34" s="14">
        <v>0</v>
      </c>
      <c r="BC34" s="14">
        <v>0</v>
      </c>
      <c r="BD34" s="14" t="s">
        <v>247</v>
      </c>
      <c r="BE34" s="14">
        <v>0</v>
      </c>
      <c r="BF34" s="14">
        <v>0</v>
      </c>
      <c r="BG34" s="14">
        <v>0</v>
      </c>
      <c r="BH34" s="14">
        <v>0</v>
      </c>
      <c r="BI34" s="14">
        <v>0</v>
      </c>
      <c r="BJ34" s="14">
        <v>0</v>
      </c>
      <c r="BK34" s="14">
        <v>0</v>
      </c>
      <c r="BL34" s="14">
        <v>0</v>
      </c>
      <c r="BM34" s="14">
        <v>0</v>
      </c>
      <c r="BN34" s="14">
        <v>0</v>
      </c>
      <c r="BO34" s="14">
        <v>0</v>
      </c>
      <c r="BP34" s="14">
        <v>0</v>
      </c>
      <c r="BQ34" s="14">
        <v>0</v>
      </c>
      <c r="BR34" s="14">
        <v>0</v>
      </c>
      <c r="BS34" s="14"/>
      <c r="BT34" s="14"/>
      <c r="BU34" s="14"/>
      <c r="BV34" s="14">
        <v>0</v>
      </c>
      <c r="BW34" s="14">
        <v>0</v>
      </c>
      <c r="BX34" s="14">
        <v>0</v>
      </c>
      <c r="BY34" s="14"/>
      <c r="BZ34" s="14"/>
    </row>
    <row r="35" customFormat="1" ht="20.1" customHeight="1" spans="1:78">
      <c r="A35" s="1"/>
      <c r="B35" s="14"/>
      <c r="C35" s="15">
        <v>30</v>
      </c>
      <c r="D35" s="14" t="s">
        <v>248</v>
      </c>
      <c r="E35" s="14" t="s">
        <v>249</v>
      </c>
      <c r="F35" s="14">
        <v>1</v>
      </c>
      <c r="G35" s="14" t="s">
        <v>174</v>
      </c>
      <c r="H35" s="14">
        <v>0</v>
      </c>
      <c r="I35" s="14">
        <v>0</v>
      </c>
      <c r="J35" s="14">
        <v>1</v>
      </c>
      <c r="K35" s="14">
        <v>0</v>
      </c>
      <c r="L35" s="14">
        <v>0</v>
      </c>
      <c r="M35" s="14">
        <v>0</v>
      </c>
      <c r="N35" s="14">
        <v>0</v>
      </c>
      <c r="O35" s="14">
        <v>1</v>
      </c>
      <c r="P35" s="14">
        <v>0</v>
      </c>
      <c r="Q35" s="14">
        <v>0</v>
      </c>
      <c r="R35" s="14">
        <v>0</v>
      </c>
      <c r="S35" s="14">
        <v>0</v>
      </c>
      <c r="T35" s="14">
        <v>0</v>
      </c>
      <c r="U35" s="14">
        <v>1</v>
      </c>
      <c r="V35" s="14">
        <v>1</v>
      </c>
      <c r="W35" s="14">
        <v>0</v>
      </c>
      <c r="X35" s="14">
        <v>1.25</v>
      </c>
      <c r="Y35" s="14">
        <v>0</v>
      </c>
      <c r="Z35" s="14">
        <v>0</v>
      </c>
      <c r="AA35" s="14">
        <v>0</v>
      </c>
      <c r="AB35" s="14">
        <v>0</v>
      </c>
      <c r="AC35" s="14">
        <v>0</v>
      </c>
      <c r="AD35" s="14">
        <v>0</v>
      </c>
      <c r="AE35" s="14">
        <v>0</v>
      </c>
      <c r="AF35" s="14">
        <v>20</v>
      </c>
      <c r="AG35" s="14">
        <v>2</v>
      </c>
      <c r="AH35" s="14" t="s">
        <v>250</v>
      </c>
      <c r="AI35" s="14">
        <v>0</v>
      </c>
      <c r="AJ35" s="14">
        <v>2</v>
      </c>
      <c r="AK35" s="14">
        <v>0</v>
      </c>
      <c r="AL35" s="14">
        <v>3</v>
      </c>
      <c r="AM35" s="14">
        <v>0</v>
      </c>
      <c r="AN35" s="14">
        <v>0</v>
      </c>
      <c r="AO35" s="14">
        <v>5</v>
      </c>
      <c r="AP35" s="14">
        <v>5</v>
      </c>
      <c r="AQ35" s="14">
        <v>5000</v>
      </c>
      <c r="AR35" s="14">
        <v>0</v>
      </c>
      <c r="AS35" s="14">
        <v>0</v>
      </c>
      <c r="AT35" s="14">
        <v>0</v>
      </c>
      <c r="AU35" s="14"/>
      <c r="AV35" s="14"/>
      <c r="AW35" s="14" t="s">
        <v>175</v>
      </c>
      <c r="AX35" s="14"/>
      <c r="AY35" s="14" t="s">
        <v>157</v>
      </c>
      <c r="AZ35" s="14" t="s">
        <v>153</v>
      </c>
      <c r="BA35" s="14">
        <v>60</v>
      </c>
      <c r="BB35" s="14">
        <v>0</v>
      </c>
      <c r="BC35" s="14">
        <v>0</v>
      </c>
      <c r="BD35" s="14" t="s">
        <v>251</v>
      </c>
      <c r="BE35" s="14">
        <v>0</v>
      </c>
      <c r="BF35" s="14">
        <v>0</v>
      </c>
      <c r="BG35" s="14">
        <v>0</v>
      </c>
      <c r="BH35" s="14">
        <v>0</v>
      </c>
      <c r="BI35" s="14">
        <v>0</v>
      </c>
      <c r="BJ35" s="14">
        <v>0</v>
      </c>
      <c r="BK35" s="14">
        <v>0</v>
      </c>
      <c r="BL35" s="14">
        <v>0</v>
      </c>
      <c r="BM35" s="14">
        <v>0</v>
      </c>
      <c r="BN35" s="14">
        <v>1000</v>
      </c>
      <c r="BO35" s="14">
        <v>1.25</v>
      </c>
      <c r="BP35" s="14">
        <v>1</v>
      </c>
      <c r="BQ35" s="14">
        <v>0</v>
      </c>
      <c r="BR35" s="14">
        <v>0</v>
      </c>
      <c r="BS35" s="14"/>
      <c r="BT35" s="14"/>
      <c r="BU35" s="14"/>
      <c r="BV35" s="14">
        <v>0</v>
      </c>
      <c r="BW35" s="14"/>
      <c r="BX35" s="14"/>
      <c r="BY35" s="14"/>
      <c r="BZ35" s="14"/>
    </row>
    <row r="36" customFormat="1" ht="20.1" customHeight="1" spans="1:78">
      <c r="A36" s="1"/>
      <c r="B36" s="14"/>
      <c r="C36" s="15">
        <v>31</v>
      </c>
      <c r="D36" s="14" t="s">
        <v>252</v>
      </c>
      <c r="E36" s="14" t="s">
        <v>253</v>
      </c>
      <c r="F36" s="14">
        <v>1</v>
      </c>
      <c r="G36" s="14" t="s">
        <v>174</v>
      </c>
      <c r="H36" s="14">
        <v>0</v>
      </c>
      <c r="I36" s="14">
        <v>0</v>
      </c>
      <c r="J36" s="14">
        <v>1</v>
      </c>
      <c r="K36" s="14">
        <v>0</v>
      </c>
      <c r="L36" s="14">
        <v>0</v>
      </c>
      <c r="M36" s="14">
        <v>0</v>
      </c>
      <c r="N36" s="14">
        <v>0</v>
      </c>
      <c r="O36" s="14">
        <v>2</v>
      </c>
      <c r="P36" s="14">
        <v>2</v>
      </c>
      <c r="Q36" s="14">
        <v>0.9</v>
      </c>
      <c r="R36" s="14">
        <v>0</v>
      </c>
      <c r="S36" s="14">
        <v>0</v>
      </c>
      <c r="T36" s="14">
        <v>0</v>
      </c>
      <c r="U36" s="14">
        <v>1</v>
      </c>
      <c r="V36" s="14">
        <v>2</v>
      </c>
      <c r="W36" s="14">
        <v>0</v>
      </c>
      <c r="X36" s="14">
        <v>3</v>
      </c>
      <c r="Y36" s="14"/>
      <c r="Z36" s="14">
        <v>0</v>
      </c>
      <c r="AA36" s="14">
        <v>0</v>
      </c>
      <c r="AB36" s="14">
        <v>0</v>
      </c>
      <c r="AC36" s="14">
        <v>0</v>
      </c>
      <c r="AD36" s="14">
        <v>0</v>
      </c>
      <c r="AE36" s="14">
        <v>0</v>
      </c>
      <c r="AF36" s="14">
        <v>20</v>
      </c>
      <c r="AG36" s="14">
        <v>2</v>
      </c>
      <c r="AH36" s="14" t="s">
        <v>250</v>
      </c>
      <c r="AI36" s="14">
        <v>0</v>
      </c>
      <c r="AJ36" s="14">
        <v>2</v>
      </c>
      <c r="AK36" s="14">
        <v>0</v>
      </c>
      <c r="AL36" s="14">
        <v>0</v>
      </c>
      <c r="AM36" s="14">
        <v>0</v>
      </c>
      <c r="AN36" s="14">
        <v>0</v>
      </c>
      <c r="AO36" s="14">
        <v>0</v>
      </c>
      <c r="AP36" s="14">
        <v>5</v>
      </c>
      <c r="AQ36" s="14">
        <v>5000</v>
      </c>
      <c r="AR36" s="14">
        <v>0</v>
      </c>
      <c r="AS36" s="14">
        <v>0</v>
      </c>
      <c r="AT36" s="14">
        <v>0</v>
      </c>
      <c r="AU36" s="14"/>
      <c r="AV36" s="14"/>
      <c r="AW36" s="14" t="s">
        <v>254</v>
      </c>
      <c r="AX36" s="14"/>
      <c r="AY36" s="14" t="s">
        <v>157</v>
      </c>
      <c r="AZ36" s="14" t="s">
        <v>153</v>
      </c>
      <c r="BA36" s="14" t="s">
        <v>255</v>
      </c>
      <c r="BB36" s="14">
        <v>0</v>
      </c>
      <c r="BC36" s="14">
        <v>0</v>
      </c>
      <c r="BD36" s="14" t="s">
        <v>256</v>
      </c>
      <c r="BE36" s="14">
        <v>0</v>
      </c>
      <c r="BF36" s="14">
        <v>0</v>
      </c>
      <c r="BG36" s="14">
        <v>0</v>
      </c>
      <c r="BH36" s="14">
        <v>0</v>
      </c>
      <c r="BI36" s="14">
        <v>0</v>
      </c>
      <c r="BJ36" s="14">
        <v>0</v>
      </c>
      <c r="BK36" s="14">
        <v>0</v>
      </c>
      <c r="BL36" s="14">
        <v>0</v>
      </c>
      <c r="BM36" s="14">
        <v>0</v>
      </c>
      <c r="BN36" s="14">
        <v>0</v>
      </c>
      <c r="BO36" s="14">
        <v>0</v>
      </c>
      <c r="BP36" s="14">
        <v>0</v>
      </c>
      <c r="BQ36" s="14">
        <v>0</v>
      </c>
      <c r="BR36" s="14">
        <v>0</v>
      </c>
      <c r="BS36" s="14"/>
      <c r="BT36" s="14"/>
      <c r="BU36" s="14"/>
      <c r="BV36" s="14">
        <v>0</v>
      </c>
      <c r="BW36" s="14">
        <v>0</v>
      </c>
      <c r="BX36" s="14">
        <v>0</v>
      </c>
      <c r="BY36" s="14"/>
      <c r="BZ36" s="14"/>
    </row>
    <row r="37" customFormat="1" ht="20.1" customHeight="1" spans="1:78">
      <c r="A37" s="1"/>
      <c r="B37" s="14"/>
      <c r="C37" s="15"/>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row>
    <row r="38" customFormat="1" ht="20.1" customHeight="1" spans="1:78">
      <c r="A38" s="1"/>
      <c r="B38" s="14"/>
      <c r="C38" s="15"/>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row>
    <row r="39" customFormat="1" ht="20.1" customHeight="1" spans="1:78">
      <c r="A39" s="1"/>
      <c r="B39" s="14"/>
      <c r="C39" s="15"/>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row>
    <row r="40" customFormat="1" ht="20.1" customHeight="1" spans="1:78">
      <c r="A40" s="1"/>
      <c r="B40" s="14"/>
      <c r="C40" s="15"/>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row>
    <row r="41" customFormat="1" ht="20.1" customHeight="1" spans="1:78">
      <c r="A41" s="1"/>
      <c r="B41" s="14"/>
      <c r="C41" s="15"/>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row>
    <row r="42" customFormat="1" ht="20.1" customHeight="1" spans="1:78">
      <c r="A42" s="1"/>
      <c r="B42" s="14"/>
      <c r="C42" s="15"/>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row>
    <row r="43" customFormat="1" ht="20.1" customHeight="1" spans="1:78">
      <c r="A43" s="1"/>
      <c r="B43" s="14"/>
      <c r="C43" s="15"/>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row>
    <row r="44" customFormat="1" ht="20.1" customHeight="1" spans="1:78">
      <c r="A44" s="1"/>
      <c r="B44" s="14"/>
      <c r="C44" s="15"/>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row>
    <row r="45" customFormat="1" ht="20.1" customHeight="1" spans="1:78">
      <c r="A45" s="1"/>
      <c r="B45" s="14"/>
      <c r="C45" s="15"/>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row>
    <row r="46" customFormat="1" ht="20.1" customHeight="1" spans="1:78">
      <c r="A46" s="1"/>
      <c r="B46" s="14"/>
      <c r="C46" s="15"/>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row>
    <row r="47" customFormat="1" ht="20.1" customHeight="1" spans="1:78">
      <c r="A47" s="1"/>
      <c r="B47" s="14"/>
      <c r="C47" s="15"/>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row>
    <row r="48" customFormat="1" ht="20.1" customHeight="1" spans="1:78">
      <c r="A48" s="1"/>
      <c r="B48" s="14"/>
      <c r="C48" s="15"/>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row>
    <row r="49" customFormat="1" ht="20.1" customHeight="1" spans="1:78">
      <c r="A49" s="1"/>
      <c r="B49" s="14"/>
      <c r="C49" s="15"/>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row>
  </sheetData>
  <autoFilter xmlns:etc="http://www.wps.cn/officeDocument/2017/etCustomData" ref="E1:E49" etc:filterBottomFollowUsedRange="0">
    <extLst/>
  </autoFilter>
  <pageMargins left="0.699305555555556" right="0.699305555555556" top="0.75" bottom="0.75" header="0.3" footer="0.3"/>
  <pageSetup paperSize="1" orientation="portrait"/>
  <headerFooter>
    <oddFooter>&amp;C&amp;"Helvetica Neue,Regular"&amp;12&amp;K000000&amp;P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SkillProto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LDYQ</cp:lastModifiedBy>
  <dcterms:created xsi:type="dcterms:W3CDTF">2019-09-28T16:34:00Z</dcterms:created>
  <dcterms:modified xsi:type="dcterms:W3CDTF">2026-03-07T09:10:48Z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44029eeb-122a-4d6c-b82b-20361fb4b9d1</vt:lpwstr>
  </property>
  <property fmtid="{D5CDD505-2E9C-101B-9397-08002B2CF9AE}" pid="3" name="KSOProductBuildVer">
    <vt:lpwstr>2052-12.1.0.25225</vt:lpwstr>
  </property>
  <property fmtid="{D5CDD505-2E9C-101B-9397-08002B2CF9AE}" pid="4" name="ICV">
    <vt:lpwstr>FCFFDC0558BD49789FA1FADFEB6AAAE6_12</vt:lpwstr>
  </property>
  <property fmtid="{D5CDD505-2E9C-101B-9397-08002B2CF9AE}" pid="5" name="CalculationRule">
    <vt:i4>0</vt:i4>
  </property>
</Properties>
</file>